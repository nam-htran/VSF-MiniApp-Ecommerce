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VSF\Project 4week\"/>
    </mc:Choice>
  </mc:AlternateContent>
  <xr:revisionPtr revIDLastSave="0" documentId="8_{184FCEDC-090A-4386-A1B2-715B7A33DF8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INFO" sheetId="1" r:id="rId1"/>
    <sheet name="Kế hoạch 4 tuần" sheetId="5" r:id="rId2"/>
    <sheet name="Test scenarios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5" l="1"/>
  <c r="I5" i="5"/>
  <c r="B4" i="5"/>
  <c r="I4" i="5"/>
  <c r="B6" i="5"/>
  <c r="I6" i="5"/>
  <c r="B7" i="5"/>
  <c r="I7" i="5"/>
  <c r="B8" i="5"/>
  <c r="I8" i="5"/>
  <c r="I23" i="5"/>
  <c r="B23" i="5"/>
  <c r="I22" i="5"/>
  <c r="B22" i="5"/>
  <c r="I21" i="5"/>
  <c r="B21" i="5"/>
  <c r="I20" i="5"/>
  <c r="B20" i="5"/>
  <c r="I19" i="5"/>
  <c r="B19" i="5"/>
  <c r="I18" i="5"/>
  <c r="B18" i="5"/>
  <c r="I17" i="5"/>
  <c r="B17" i="5"/>
  <c r="I16" i="5"/>
  <c r="B16" i="5"/>
  <c r="I15" i="5"/>
  <c r="B15" i="5"/>
  <c r="I14" i="5"/>
  <c r="B14" i="5"/>
  <c r="I13" i="5"/>
  <c r="B13" i="5"/>
  <c r="I12" i="5"/>
  <c r="B12" i="5"/>
  <c r="I11" i="5"/>
  <c r="B11" i="5"/>
  <c r="I10" i="5"/>
  <c r="B10" i="5"/>
  <c r="I9" i="5"/>
  <c r="B9" i="5"/>
</calcChain>
</file>

<file path=xl/sharedStrings.xml><?xml version="1.0" encoding="utf-8"?>
<sst xmlns="http://schemas.openxmlformats.org/spreadsheetml/2006/main" count="825" uniqueCount="453">
  <si>
    <t>V-MARKET — THIẾT LẬP KẾ HOẠCH</t>
  </si>
  <si>
    <t>Thông số</t>
  </si>
  <si>
    <t>Giá trị</t>
  </si>
  <si>
    <t>Ngày bắt đầu (thứ Hai)</t>
  </si>
  <si>
    <t>Thời lượng</t>
  </si>
  <si>
    <t>4 tuần / 20 ngày làm việc</t>
  </si>
  <si>
    <t>Mục tiêu nội bộ</t>
  </si>
  <si>
    <t>Có bản end-to-end vào cuối ngày 10</t>
  </si>
  <si>
    <t>Nguyên tắc</t>
  </si>
  <si>
    <t>Tuần 3–4 dùng để ổn định, kiểm thử, tích hợp và demo</t>
  </si>
  <si>
    <t>Phạm vi cắt đầu tiên</t>
  </si>
  <si>
    <t>Chat → Gợi ý → Voucher → Review → Dashboard nâng cao</t>
  </si>
  <si>
    <t>V-MARKET — EXECUTION PLAN 4 TUẦN</t>
  </si>
  <si>
    <t>Ngày</t>
  </si>
  <si>
    <t>Ngày dự kiến</t>
  </si>
  <si>
    <t>Nhóm việc</t>
  </si>
  <si>
    <t>Công việc</t>
  </si>
  <si>
    <t>Kết quả cần đạt</t>
  </si>
  <si>
    <t>Ưu tiên</t>
  </si>
  <si>
    <t>Phụ thuộc</t>
  </si>
  <si>
    <t>Trạng thái</t>
  </si>
  <si>
    <t>Hoàn thành</t>
  </si>
  <si>
    <t>Mốc kiểm tra/demo</t>
  </si>
  <si>
    <t>Ghi chú</t>
  </si>
  <si>
    <t>Nền tảng</t>
  </si>
  <si>
    <t>Khởi tạo dự án, cấu hình môi trường, đăng nhập và hai vai trò</t>
  </si>
  <si>
    <t>Buyer và Seller đăng nhập độc lập</t>
  </si>
  <si>
    <t>P0</t>
  </si>
  <si>
    <t>Ngày 1</t>
  </si>
  <si>
    <t>Done</t>
  </si>
  <si>
    <t>Hai phiên đăng nhập</t>
  </si>
  <si>
    <t>Có tài khoản seed cho buyer, seller A, seller B</t>
  </si>
  <si>
    <t>Tích hợp V-App</t>
  </si>
  <si>
    <t>Đọc tài liệu và xác định các điểm tích hợp cần mô phỏng: đăng nhập, thông tin người dùng, phiên thanh toán và kết quả thanh toán</t>
  </si>
  <si>
    <t>Hoàn thành danh sách API, dữ liệu vào/ra và sơ đồ luồng giữa MiniApp, V-Market Backend và Mock V-App</t>
  </si>
  <si>
    <t>Ngày 2</t>
  </si>
  <si>
    <t>In Progress</t>
  </si>
  <si>
    <t>Chốt API, API hoạt động</t>
  </si>
  <si>
    <t>Không xây lại toàn bộ V-App; chỉ mô phỏng các chức năng V-Market sử dụng</t>
  </si>
  <si>
    <t>Seller</t>
  </si>
  <si>
    <t>Tạo và quản lý cửa hàng</t>
  </si>
  <si>
    <t>Seller tạo/chỉnh sửa được shop và chỉ quản lý shop của mình</t>
  </si>
  <si>
    <t>Ngày 3</t>
  </si>
  <si>
    <t>Not Started</t>
  </si>
  <si>
    <t>Shop hoạt động</t>
  </si>
  <si>
    <t>Một seller–một shop trong MVP</t>
  </si>
  <si>
    <t>Catalogue</t>
  </si>
  <si>
    <t>Tạo sản phẩm, phiên bản, giá và số lượng hàng</t>
  </si>
  <si>
    <t>Seller đăng được sản phẩm có màu/size hoặc phiên bản</t>
  </si>
  <si>
    <t>Ngày 4</t>
  </si>
  <si>
    <t>Sản phẩm hợp lệ</t>
  </si>
  <si>
    <t>Kiểm tra dữ liệu bắt buộc và từ khóa cơ bản</t>
  </si>
  <si>
    <t>Buyer</t>
  </si>
  <si>
    <t>Danh sách, chi tiết, tìm kiếm và lọc sản phẩm</t>
  </si>
  <si>
    <t>Buyer nhìn thấy sản phẩm vừa đăng</t>
  </si>
  <si>
    <t>Ngày 5</t>
  </si>
  <si>
    <t>Checkpoint tuần 1</t>
  </si>
  <si>
    <t>Cuối ngày phải demo Seller đăng → Buyer xem</t>
  </si>
  <si>
    <t>Commerce</t>
  </si>
  <si>
    <t>Giỏ hàng đa cửa hàng</t>
  </si>
  <si>
    <t>Thêm/xóa/sửa số lượng và nhóm đúng theo từng shop</t>
  </si>
  <si>
    <t>Giỏ hàng đa shop</t>
  </si>
  <si>
    <t>Chưa cần voucher</t>
  </si>
  <si>
    <t>Checkout</t>
  </si>
  <si>
    <t>Kiểm tra lại giá, số lượng và tạo đơn hàng</t>
  </si>
  <si>
    <t>Buyer tạo được một đơn chung từ nhiều shop</t>
  </si>
  <si>
    <t>Ngày 6</t>
  </si>
  <si>
    <t>Đơn chung được tạo</t>
  </si>
  <si>
    <t>Lưu snapshot giá tại thời điểm đặt</t>
  </si>
  <si>
    <t>Order &amp; Payment</t>
  </si>
  <si>
    <t>Phân chia đơn theo shop và thanh toán mô phỏng</t>
  </si>
  <si>
    <t>Mỗi shop có phần đơn riêng; thanh toán thành công/thất bại</t>
  </si>
  <si>
    <t>Ngày 7</t>
  </si>
  <si>
    <t>Đơn được tách đúng</t>
  </si>
  <si>
    <t>Thiết kế để thay mock bằng Payment Hub sau</t>
  </si>
  <si>
    <t>Fulfillment</t>
  </si>
  <si>
    <t>Seller nhận đơn, cập nhật trạng thái; buyer theo dõi</t>
  </si>
  <si>
    <t>Seller chỉ thấy đơn của shop mình; buyer thấy trạng thái mới</t>
  </si>
  <si>
    <t>Ngày 8</t>
  </si>
  <si>
    <t>Hai màn hình đồng bộ</t>
  </si>
  <si>
    <t>Không cần realtime socket; refresh/polling vẫn chấp nhận</t>
  </si>
  <si>
    <t>Tích hợp</t>
  </si>
  <si>
    <t>Chạy luồng end-to-end và sửa lỗi cản trở</t>
  </si>
  <si>
    <t>Demo v0 chạy trọn luồng từ đăng sản phẩm đến hoàn thành đơn</t>
  </si>
  <si>
    <t>Ngày 1–9</t>
  </si>
  <si>
    <t>MVP end-to-end</t>
  </si>
  <si>
    <t>Đây là mốc không được trễ</t>
  </si>
  <si>
    <t>Inventory</t>
  </si>
  <si>
    <t>Giữ hàng trong thời gian thanh toán và tự hoàn lại khi hết hạn</t>
  </si>
  <si>
    <t>Không mất hàng sai khi buyer chưa thanh toán</t>
  </si>
  <si>
    <t>Ngày 8–10</t>
  </si>
  <si>
    <t>Reservation hoạt động</t>
  </si>
  <si>
    <t>Có timeout ngắn để dễ demo</t>
  </si>
  <si>
    <t>Độ tin cậy</t>
  </si>
  <si>
    <t>Xử lý yêu cầu đặt hàng/callback thanh toán bị gửi lặp</t>
  </si>
  <si>
    <t>Không tạo đơn hoặc ghi nhận thanh toán nhiều lần</t>
  </si>
  <si>
    <t>Ngày 8–11</t>
  </si>
  <si>
    <t>Không bị trùng giao dịch</t>
  </si>
  <si>
    <t>Tạo test case lặp request</t>
  </si>
  <si>
    <t>Bảo mật nghiệp vụ</t>
  </si>
  <si>
    <t>Kiểm tra phân quyền và các tình huống dữ liệu thay đổi</t>
  </si>
  <si>
    <t>Seller không xem đơn shop khác; buyer được báo khi giá/hàng thay đổi</t>
  </si>
  <si>
    <t>Ngày 2–12</t>
  </si>
  <si>
    <t>Các lỗi chính được chặn</t>
  </si>
  <si>
    <t>Ưu tiên kiểm tra ở backend</t>
  </si>
  <si>
    <t>Trải nghiệm</t>
  </si>
  <si>
    <t>Hoàn thiện giao diện, responsive, loading, empty state và thông báo lỗi</t>
  </si>
  <si>
    <t>Hai màn hình đủ sạch và dễ thao tác khi demo</t>
  </si>
  <si>
    <t>P1</t>
  </si>
  <si>
    <t>Ngày 1–13</t>
  </si>
  <si>
    <t>UI demo-ready</t>
  </si>
  <si>
    <t>Không chỉnh đẹp trước khi core ổn</t>
  </si>
  <si>
    <t>Kiểm thử</t>
  </si>
  <si>
    <t>Viết và chạy integration test cho các luồng chính</t>
  </si>
  <si>
    <t>Có bằng chứng kiểm thử cho checkout, order split, payment và quyền seller</t>
  </si>
  <si>
    <t>Ngày 10–14</t>
  </si>
  <si>
    <t>Demo v1 ổn định</t>
  </si>
  <si>
    <t>Chốt danh sách lỗi còn lại</t>
  </si>
  <si>
    <t>V-App</t>
  </si>
  <si>
    <t>Tích hợp đăng nhập/thanh toán V-App nếu có quyền; giữ fallback mock</t>
  </si>
  <si>
    <t>Có phương án chạy được dù môi trường V-App lỗi</t>
  </si>
  <si>
    <t>Tài liệu/API V-App</t>
  </si>
  <si>
    <t>Integration hoặc fallback</t>
  </si>
  <si>
    <t>Không để phụ thuộc ngoài chặn demo</t>
  </si>
  <si>
    <t>Optional</t>
  </si>
  <si>
    <t>Chọn tối đa một tính năng thêm</t>
  </si>
  <si>
    <t>Hoàn thành một trong: dashboard, review, voucher hoặc gợi ý đơn giản</t>
  </si>
  <si>
    <t>P2</t>
  </si>
  <si>
    <t>Core đã ổn</t>
  </si>
  <si>
    <t>Feature phụ hoàn chỉnh</t>
  </si>
  <si>
    <t>Không bắt đầu chat trừ khi dư nhiều thời gian</t>
  </si>
  <si>
    <t>Triển khai</t>
  </si>
  <si>
    <t>Deploy, cấu hình dữ liệu mẫu và tài khoản demo</t>
  </si>
  <si>
    <t>Hệ thống chạy trên môi trường demo với dữ liệu ổn định</t>
  </si>
  <si>
    <t>Ngày 15–17</t>
  </si>
  <si>
    <t>Deployment ready</t>
  </si>
  <si>
    <t>Có script seed/reset dữ liệu</t>
  </si>
  <si>
    <t>Tài liệu</t>
  </si>
  <si>
    <t>Hoàn thiện README, hướng dẫn sử dụng, test report và demo script</t>
  </si>
  <si>
    <t>Người khác có thể chạy và hiểu dự án</t>
  </si>
  <si>
    <t>Ngày 18</t>
  </si>
  <si>
    <t>Tài liệu hoàn chỉnh</t>
  </si>
  <si>
    <t>Ghi rõ phần đã làm và chưa làm</t>
  </si>
  <si>
    <t>Demo</t>
  </si>
  <si>
    <t>Tổng duyệt hai màn hình, kiểm tra mạng và chuẩn bị phương án dự phòng</t>
  </si>
  <si>
    <t>Demo ổn định, đúng thời lượng và có một tình huống lỗi</t>
  </si>
  <si>
    <t>Ngày 18–19</t>
  </si>
  <si>
    <t>Final demo</t>
  </si>
  <si>
    <t>Có video hoặc ảnh dự phòng nếu môi trường gặp sự cố</t>
  </si>
  <si>
    <t>V-MARKET — TEST MATRIX</t>
  </si>
  <si>
    <t>Test ID</t>
  </si>
  <si>
    <t>Nhóm</t>
  </si>
  <si>
    <t>Tầng test</t>
  </si>
  <si>
    <t>Kịch bản</t>
  </si>
  <si>
    <t>Điều kiện/Dữ liệu</t>
  </si>
  <si>
    <t>Các bước chính</t>
  </si>
  <si>
    <t>Kết quả mong đợi</t>
  </si>
  <si>
    <t>Tự động hóa</t>
  </si>
  <si>
    <t>Status</t>
  </si>
  <si>
    <t>Regression</t>
  </si>
  <si>
    <t>Bug ID</t>
  </si>
  <si>
    <t>AUTH-01</t>
  </si>
  <si>
    <t>Authentication &amp; Authorization</t>
  </si>
  <si>
    <t>Integration</t>
  </si>
  <si>
    <t>Buyer đăng nhập bằng authCode hợp lệ</t>
  </si>
  <si>
    <t>Tài khoản buyer có sẵn</t>
  </si>
  <si>
    <t>Gửi authCode hợp lệ qua Mock V-App</t>
  </si>
  <si>
    <t>V-Market tạo/nhận user và phiên đăng nhập đúng</t>
  </si>
  <si>
    <t>Yes</t>
  </si>
  <si>
    <t>Not Run</t>
  </si>
  <si>
    <t>No</t>
  </si>
  <si>
    <t>AUTH-02</t>
  </si>
  <si>
    <t>Seller đăng nhập bằng authCode hợp lệ</t>
  </si>
  <si>
    <t>Tài khoản seller có shop</t>
  </si>
  <si>
    <t>Gửi authCode hợp lệ</t>
  </si>
  <si>
    <t>Phiên đăng nhập có role Seller và đúng sellerId</t>
  </si>
  <si>
    <t>AUTH-03</t>
  </si>
  <si>
    <t>Contract</t>
  </si>
  <si>
    <t>authCode không hợp lệ hoặc hết hạn</t>
  </si>
  <si>
    <t>authCode sai</t>
  </si>
  <si>
    <t>Gửi request đăng nhập</t>
  </si>
  <si>
    <t>Bị từ chối, không tạo phiên</t>
  </si>
  <si>
    <t>AUTH-04</t>
  </si>
  <si>
    <t>Security</t>
  </si>
  <si>
    <t>Buyer gọi API tạo sản phẩm</t>
  </si>
  <si>
    <t>Buyer đã đăng nhập</t>
  </si>
  <si>
    <t>Gọi endpoint seller</t>
  </si>
  <si>
    <t>Bị từ chối quyền</t>
  </si>
  <si>
    <t>AUTH-05</t>
  </si>
  <si>
    <t>Seller A truy cập shop của Seller B</t>
  </si>
  <si>
    <t>Hai seller khác nhau</t>
  </si>
  <si>
    <t>Thay shopId trên request</t>
  </si>
  <si>
    <t>Bị từ chối; không rò dữ liệu</t>
  </si>
  <si>
    <t>AUTH-06</t>
  </si>
  <si>
    <t>Token hết hạn</t>
  </si>
  <si>
    <t>Token đã hết hạn</t>
  </si>
  <si>
    <t>Gọi API cần đăng nhập</t>
  </si>
  <si>
    <t>Nhận lỗi xác thực phù hợp</t>
  </si>
  <si>
    <t>PROD-01</t>
  </si>
  <si>
    <t>Shop &amp; Product</t>
  </si>
  <si>
    <t>Seller tạo shop với dữ liệu hợp lệ</t>
  </si>
  <si>
    <t>Seller chưa có shop</t>
  </si>
  <si>
    <t>Nhập đủ tên, mô tả</t>
  </si>
  <si>
    <t>Shop được tạo và thuộc đúng seller</t>
  </si>
  <si>
    <t>PROD-02</t>
  </si>
  <si>
    <t>Seller tạo shop thứ hai</t>
  </si>
  <si>
    <t>Seller đã có shop</t>
  </si>
  <si>
    <t>Gửi request tạo shop mới</t>
  </si>
  <si>
    <t>Bị từ chối trong MVP một seller–một shop</t>
  </si>
  <si>
    <t>PROD-03</t>
  </si>
  <si>
    <t>Unit</t>
  </si>
  <si>
    <t>Tạo sản phẩm thiếu tên</t>
  </si>
  <si>
    <t>Shop active</t>
  </si>
  <si>
    <t>Bỏ trống tên</t>
  </si>
  <si>
    <t>Không cho lưu/đăng</t>
  </si>
  <si>
    <t>PROD-04</t>
  </si>
  <si>
    <t>Giá bằng 0 hoặc âm</t>
  </si>
  <si>
    <t>Nhập giá 0/-1</t>
  </si>
  <si>
    <t>Không cho đăng</t>
  </si>
  <si>
    <t>PROD-05</t>
  </si>
  <si>
    <t>Tồn kho âm</t>
  </si>
  <si>
    <t>Nhập stock -1</t>
  </si>
  <si>
    <t>PROD-06</t>
  </si>
  <si>
    <t>SKU trùng trong cùng shop</t>
  </si>
  <si>
    <t>Đã có SKU A</t>
  </si>
  <si>
    <t>Tạo SKU A lần nữa</t>
  </si>
  <si>
    <t>Bị từ chối hoặc yêu cầu mã khác</t>
  </si>
  <si>
    <t>PROD-07</t>
  </si>
  <si>
    <t>Sản phẩm chứa từ khóa bị cấm</t>
  </si>
  <si>
    <t>Danh sách từ khóa mẫu</t>
  </si>
  <si>
    <t>Đăng sản phẩm có từ khóa cấm</t>
  </si>
  <si>
    <t>Sản phẩm bị chặn hoặc ẩn</t>
  </si>
  <si>
    <t>PROD-08</t>
  </si>
  <si>
    <t>Tên/mô tả chứa HTML hoặc script</t>
  </si>
  <si>
    <t>Chuỗi XSS mẫu</t>
  </si>
  <si>
    <t>Đăng và xem sản phẩm</t>
  </si>
  <si>
    <t>Nội dung được escape; script không chạy</t>
  </si>
  <si>
    <t>CART-01</t>
  </si>
  <si>
    <t>Cart &amp; Pricing</t>
  </si>
  <si>
    <t>Thêm sản phẩm từ hai shop vào giỏ</t>
  </si>
  <si>
    <t>Hai shop active</t>
  </si>
  <si>
    <t>Thêm item A và B</t>
  </si>
  <si>
    <t>Giỏ nhóm đúng theo shop</t>
  </si>
  <si>
    <t>CART-02</t>
  </si>
  <si>
    <t>Số lượng thêm bằng 0 hoặc âm</t>
  </si>
  <si>
    <t>SKU còn hàng</t>
  </si>
  <si>
    <t>Gửi quantity 0/-1</t>
  </si>
  <si>
    <t>Bị từ chối</t>
  </si>
  <si>
    <t>CART-03</t>
  </si>
  <si>
    <t>Số lượng trong giỏ vượt tồn kho</t>
  </si>
  <si>
    <t>SKU stock=2</t>
  </si>
  <si>
    <t>Đặt quantity=3</t>
  </si>
  <si>
    <t>Không cho checkout; báo số lượng còn lại</t>
  </si>
  <si>
    <t>CART-04</t>
  </si>
  <si>
    <t>Seller đổi giá sau khi item vào giỏ</t>
  </si>
  <si>
    <t>Item đã nằm trong giỏ</t>
  </si>
  <si>
    <t>Seller đổi giá rồi buyer checkout</t>
  </si>
  <si>
    <t>Checkout dùng giá mới và báo buyer xác nhận</t>
  </si>
  <si>
    <t>CART-05</t>
  </si>
  <si>
    <t>Sản phẩm bị ẩn sau khi vào giỏ</t>
  </si>
  <si>
    <t>Seller ẩn sản phẩm rồi checkout</t>
  </si>
  <si>
    <t>Không cho checkout item đó</t>
  </si>
  <si>
    <t>CART-06</t>
  </si>
  <si>
    <t>Tổng tiền giỏ bằng tổng từng item</t>
  </si>
  <si>
    <t>Nhiều item, nhiều shop</t>
  </si>
  <si>
    <t>Tính tổng</t>
  </si>
  <si>
    <t>Tổng chính xác, không lệch làm tròn</t>
  </si>
  <si>
    <t>ORD-01</t>
  </si>
  <si>
    <t>Checkout &amp; Order Split</t>
  </si>
  <si>
    <t>Checkout một shop</t>
  </si>
  <si>
    <t>Giỏ có item một shop</t>
  </si>
  <si>
    <t>Đặt hàng</t>
  </si>
  <si>
    <t>Tạo một parent order và một sub-order</t>
  </si>
  <si>
    <t>ORD-02</t>
  </si>
  <si>
    <t>Checkout hai shop</t>
  </si>
  <si>
    <t>Giỏ có item hai shop</t>
  </si>
  <si>
    <t>Tạo một parent order và hai sub-order</t>
  </si>
  <si>
    <t>ORD-03</t>
  </si>
  <si>
    <t>Tổng sub-order bằng parent order</t>
  </si>
  <si>
    <t>Đơn nhiều shop</t>
  </si>
  <si>
    <t>So sánh giá trị</t>
  </si>
  <si>
    <t>Tổng các sub-order khớp parent order</t>
  </si>
  <si>
    <t>ORD-04</t>
  </si>
  <si>
    <t>Buyer bấm checkout nhiều lần</t>
  </si>
  <si>
    <t>Cùng idempotency key</t>
  </si>
  <si>
    <t>Gửi request lặp 5 lần</t>
  </si>
  <si>
    <t>Chỉ tạo một parent order</t>
  </si>
  <si>
    <t>ORD-05</t>
  </si>
  <si>
    <t>Một item hết hàng trong giỏ đa shop</t>
  </si>
  <si>
    <t>Một SKU hết hàng</t>
  </si>
  <si>
    <t>Checkout toàn giỏ</t>
  </si>
  <si>
    <t>Không tạo đơn nửa vời; trả lỗi rõ</t>
  </si>
  <si>
    <t>ORD-06</t>
  </si>
  <si>
    <t>Frontend gửi tổng tiền thấp hơn</t>
  </si>
  <si>
    <t>Request bị chỉnh total</t>
  </si>
  <si>
    <t>Backend tự tính lại; không tin total client</t>
  </si>
  <si>
    <t>PAY-01</t>
  </si>
  <si>
    <t>Payment</t>
  </si>
  <si>
    <t>Tạo payment session hợp lệ</t>
  </si>
  <si>
    <t>Order chờ thanh toán</t>
  </si>
  <si>
    <t>Gọi Mock V-App payment</t>
  </si>
  <si>
    <t>Nhận session/payment reference đúng schema</t>
  </si>
  <si>
    <t>PAY-02</t>
  </si>
  <si>
    <t>Payment thành công</t>
  </si>
  <si>
    <t>Payment session còn hạn</t>
  </si>
  <si>
    <t>Gửi callback success</t>
  </si>
  <si>
    <t>Order chuyển Paid đúng một lần</t>
  </si>
  <si>
    <t>PAY-03</t>
  </si>
  <si>
    <t>Payment thất bại</t>
  </si>
  <si>
    <t>Gửi callback failed</t>
  </si>
  <si>
    <t>Order không Paid; tồn kho được xử lý đúng</t>
  </si>
  <si>
    <t>PAY-04</t>
  </si>
  <si>
    <t>Callback success gửi lặp</t>
  </si>
  <si>
    <t>Cùng payment reference</t>
  </si>
  <si>
    <t>Gửi 10 callback success</t>
  </si>
  <si>
    <t>Chỉ ghi nhận một payment success</t>
  </si>
  <si>
    <t>PAY-05</t>
  </si>
  <si>
    <t>Callback sai chữ ký/mã xác thực</t>
  </si>
  <si>
    <t>Callback giả</t>
  </si>
  <si>
    <t>Gửi callback</t>
  </si>
  <si>
    <t>Bị từ chối; không đổi order</t>
  </si>
  <si>
    <t>PAY-06</t>
  </si>
  <si>
    <t>Callback đến muộn sau khi query status</t>
  </si>
  <si>
    <t>Payment đã success nhưng callback chậm</t>
  </si>
  <si>
    <t>Query rồi nhận callback</t>
  </si>
  <si>
    <t>Kết quả cuối nhất quán; không ghi nhận hai lần</t>
  </si>
  <si>
    <t>Partial</t>
  </si>
  <si>
    <t>INV-01</t>
  </si>
  <si>
    <t>Inventory &amp; Concurrency</t>
  </si>
  <si>
    <t>Giữ hàng khi checkout</t>
  </si>
  <si>
    <t>SKU stock=5</t>
  </si>
  <si>
    <t>Checkout quantity=2</t>
  </si>
  <si>
    <t>Available giảm 2, reserved tăng 2</t>
  </si>
  <si>
    <t>INV-02</t>
  </si>
  <si>
    <t>Payment success chuyển reserved thành sold</t>
  </si>
  <si>
    <t>Có reservation</t>
  </si>
  <si>
    <t>Thanh toán thành công</t>
  </si>
  <si>
    <t>Reserved giảm; sold tăng; available không âm</t>
  </si>
  <si>
    <t>INV-03</t>
  </si>
  <si>
    <t>Payment thất bại trả hàng</t>
  </si>
  <si>
    <t>Thanh toán thất bại</t>
  </si>
  <si>
    <t>Reserved giảm; available hoàn lại</t>
  </si>
  <si>
    <t>INV-04</t>
  </si>
  <si>
    <t>Reservation hết hạn</t>
  </si>
  <si>
    <t>Có reservation quá hạn</t>
  </si>
  <si>
    <t>Chạy expiration job</t>
  </si>
  <si>
    <t>Hàng được trả đúng một lần</t>
  </si>
  <si>
    <t>INV-05</t>
  </si>
  <si>
    <t>Concurrency</t>
  </si>
  <si>
    <t>20 buyer cùng mua SKU cuối</t>
  </si>
  <si>
    <t>SKU stock=1</t>
  </si>
  <si>
    <t>Gửi 20 checkout đồng thời</t>
  </si>
  <si>
    <t>Chỉ một reservation/order hợp lệ; stock không âm</t>
  </si>
  <si>
    <t>INV-06</t>
  </si>
  <si>
    <t>Expiration job và callback success chạy đồng thời</t>
  </si>
  <si>
    <t>Reservation sắp hết hạn</t>
  </si>
  <si>
    <t>Kích hoạt hai luồng gần đồng thời</t>
  </si>
  <si>
    <t>Chỉ một kết quả cuối hợp lệ; không vừa sold vừa returned</t>
  </si>
  <si>
    <t>INV-07</t>
  </si>
  <si>
    <t>Seller chỉnh stock khi buyer checkout</t>
  </si>
  <si>
    <t>SKU đang được reserve</t>
  </si>
  <si>
    <t>Seller cập nhật stock</t>
  </si>
  <si>
    <t>Không phá invariant; thông báo phù hợp</t>
  </si>
  <si>
    <t>STATE-01</t>
  </si>
  <si>
    <t>Order State</t>
  </si>
  <si>
    <t>Pending Payment → Paid</t>
  </si>
  <si>
    <t>Order pending</t>
  </si>
  <si>
    <t>Payment success</t>
  </si>
  <si>
    <t>Chuyển hợp lệ</t>
  </si>
  <si>
    <t>STATE-02</t>
  </si>
  <si>
    <t>Paid → Confirmed → Packing → Shipping → Completed</t>
  </si>
  <si>
    <t>Order paid</t>
  </si>
  <si>
    <t>Seller cập nhật tuần tự</t>
  </si>
  <si>
    <t>Chuyển đúng thứ tự</t>
  </si>
  <si>
    <t>STATE-03</t>
  </si>
  <si>
    <t>Completed quay lại Packing</t>
  </si>
  <si>
    <t>Order completed</t>
  </si>
  <si>
    <t>Gửi update Packing</t>
  </si>
  <si>
    <t>STATE-04</t>
  </si>
  <si>
    <t>Buyer hủy đơn trước seller xác nhận</t>
  </si>
  <si>
    <t>Order đã paid chưa confirmed</t>
  </si>
  <si>
    <t>Buyer hủy</t>
  </si>
  <si>
    <t>Đơn hủy theo quy tắc; hàng xử lý đúng</t>
  </si>
  <si>
    <t>STATE-05</t>
  </si>
  <si>
    <t>Buyer hủy khi đang giao</t>
  </si>
  <si>
    <t>Order shipping</t>
  </si>
  <si>
    <t>STATE-06</t>
  </si>
  <si>
    <t>Hai shop có trạng thái độc lập</t>
  </si>
  <si>
    <t>Parent có hai sub-order</t>
  </si>
  <si>
    <t>Seller A hoàn thành, B chưa xử lý</t>
  </si>
  <si>
    <t>Buyer thấy trạng thái từng shop chính xác</t>
  </si>
  <si>
    <t>SEC-01</t>
  </si>
  <si>
    <t>Security &amp; Resilience</t>
  </si>
  <si>
    <t>Seller A đọc sub-order Seller B bằng ID</t>
  </si>
  <si>
    <t>Hai seller</t>
  </si>
  <si>
    <t>Đổi subOrderId</t>
  </si>
  <si>
    <t>SEC-02</t>
  </si>
  <si>
    <t>Buyer chỉnh price/discount trong request</t>
  </si>
  <si>
    <t>Request tampered</t>
  </si>
  <si>
    <t>Backend bỏ qua dữ liệu không tin cậy</t>
  </si>
  <si>
    <t>SEC-03</t>
  </si>
  <si>
    <t>Resilience</t>
  </si>
  <si>
    <t>Mock V-App timeout khi tạo payment</t>
  </si>
  <si>
    <t>Payment mock chậm</t>
  </si>
  <si>
    <t>Order giữ trạng thái rõ; có retry/an toàn</t>
  </si>
  <si>
    <t>SEC-04</t>
  </si>
  <si>
    <t>Server restart giữa checkout</t>
  </si>
  <si>
    <t>Có transaction đang chạy</t>
  </si>
  <si>
    <t>Mô phỏng restart/lỗi giữa chừng</t>
  </si>
  <si>
    <t>Không có order/reservation nửa vời</t>
  </si>
  <si>
    <t>SEC-05</t>
  </si>
  <si>
    <t>Gửi request quá nhiều lần</t>
  </si>
  <si>
    <t>Một user spam endpoint</t>
  </si>
  <si>
    <t>Gửi burst request</t>
  </si>
  <si>
    <t>Hệ thống không hỏng; có giới hạn hoặc phản hồi ổn định</t>
  </si>
  <si>
    <t>SEC-06</t>
  </si>
  <si>
    <t>Upload file không hợp lệ</t>
  </si>
  <si>
    <t>File sai loại/kích thước lớn</t>
  </si>
  <si>
    <t>Upload ảnh sản phẩm</t>
  </si>
  <si>
    <t>Bị từ chối; không lưu file độc hại</t>
  </si>
  <si>
    <t>E2E-01</t>
  </si>
  <si>
    <t>End-to-End &amp; Load</t>
  </si>
  <si>
    <t>End-to-End</t>
  </si>
  <si>
    <t>Luồng mua hàng một shop</t>
  </si>
  <si>
    <t>Seller và buyer mẫu</t>
  </si>
  <si>
    <t>Đăng sản phẩm → mua → thanh toán → xử lý → hoàn thành</t>
  </si>
  <si>
    <t>Luồng hoàn chỉnh không lỗi</t>
  </si>
  <si>
    <t>E2E-02</t>
  </si>
  <si>
    <t>Luồng mua hàng hai shop</t>
  </si>
  <si>
    <t>Hai seller, một buyer</t>
  </si>
  <si>
    <t>Mua từ hai shop trong một checkout</t>
  </si>
  <si>
    <t>Đơn tách đúng và mỗi seller xử lý phần mình</t>
  </si>
  <si>
    <t>E2E-03</t>
  </si>
  <si>
    <t>Luồng payment thất bại</t>
  </si>
  <si>
    <t>Order mới</t>
  </si>
  <si>
    <t>Buyer thấy thất bại; hàng được trả</t>
  </si>
  <si>
    <t>LOAD-01</t>
  </si>
  <si>
    <t>Load</t>
  </si>
  <si>
    <t>100 người xem danh sách sản phẩm</t>
  </si>
  <si>
    <t>Dataset đủ lớn</t>
  </si>
  <si>
    <t>Tạo tải đọc tăng dần</t>
  </si>
  <si>
    <t>Tỷ lệ lỗi thấp; response ổn định</t>
  </si>
  <si>
    <t>LOAD-02</t>
  </si>
  <si>
    <t>20 checkout đồng thời</t>
  </si>
  <si>
    <t>Nhiều SKU đủ hàng</t>
  </si>
  <si>
    <t>Gửi checkout đồng thời</t>
  </si>
  <si>
    <t>Không trùng đơn; dữ liệu nhất quán</t>
  </si>
  <si>
    <t>LOAD-03</t>
  </si>
  <si>
    <t>Stress</t>
  </si>
  <si>
    <t>Tăng tải đến điểm gãy</t>
  </si>
  <si>
    <t>Môi trường test riêng</t>
  </si>
  <si>
    <t>10→25→50→100→200 users</t>
  </si>
  <si>
    <t>Xác định điểm gãy và hệ thống phục hồi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</si>
</sst>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11">
    <font>
      <sz val="11"/>
      <name val="Carlito"/>
    </font>
    <font>
      <b/>
      <sz val="16"/>
      <color rgb="FFFFFFFF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b/>
      <sz val="14"/>
      <color rgb="FFFFFFFF"/>
      <name val="Arial"/>
      <family val="2"/>
    </font>
    <font>
      <b/>
      <sz val="18"/>
      <color rgb="FFFFFFFF"/>
      <name val="Carlito"/>
    </font>
    <font>
      <sz val="11"/>
      <color rgb="FFFFFFFF"/>
      <name val="Arial"/>
      <family val="2"/>
    </font>
    <font>
      <sz val="8"/>
      <name val="Carlito"/>
    </font>
    <font>
      <b/>
      <sz val="11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F5D7C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0" fillId="0" borderId="1"/>
  </cellStyleXfs>
  <cellXfs count="41">
    <xf numFmtId="0" fontId="0" fillId="0" borderId="0" xfId="0"/>
    <xf numFmtId="0" fontId="0" fillId="0" borderId="1" xfId="0" applyBorder="1"/>
    <xf numFmtId="0" fontId="1" fillId="0" borderId="0" xfId="0" applyFont="1" applyAlignment="1">
      <alignment vertical="center"/>
    </xf>
    <xf numFmtId="0" fontId="2" fillId="0" borderId="0" xfId="0" applyFont="1"/>
    <xf numFmtId="0" fontId="2" fillId="4" borderId="2" xfId="0" applyFont="1" applyFill="1" applyBorder="1" applyAlignment="1">
      <alignment vertical="top" wrapText="1"/>
    </xf>
    <xf numFmtId="14" fontId="2" fillId="4" borderId="2" xfId="0" applyNumberFormat="1" applyFont="1" applyFill="1" applyBorder="1" applyAlignment="1">
      <alignment vertical="top" wrapText="1"/>
    </xf>
    <xf numFmtId="164" fontId="2" fillId="4" borderId="2" xfId="0" applyNumberFormat="1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14" fontId="2" fillId="4" borderId="3" xfId="0" applyNumberFormat="1" applyFont="1" applyFill="1" applyBorder="1" applyAlignment="1">
      <alignment vertical="top" wrapText="1"/>
    </xf>
    <xf numFmtId="164" fontId="2" fillId="4" borderId="3" xfId="0" applyNumberFormat="1" applyFont="1" applyFill="1" applyBorder="1" applyAlignment="1">
      <alignment vertical="top" wrapText="1"/>
    </xf>
    <xf numFmtId="0" fontId="2" fillId="4" borderId="4" xfId="0" applyFont="1" applyFill="1" applyBorder="1" applyAlignment="1">
      <alignment vertical="top" wrapText="1"/>
    </xf>
    <xf numFmtId="14" fontId="2" fillId="4" borderId="4" xfId="0" applyNumberFormat="1" applyFont="1" applyFill="1" applyBorder="1" applyAlignment="1">
      <alignment vertical="top" wrapText="1"/>
    </xf>
    <xf numFmtId="164" fontId="2" fillId="4" borderId="4" xfId="0" applyNumberFormat="1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vertical="top" wrapText="1"/>
    </xf>
    <xf numFmtId="0" fontId="2" fillId="4" borderId="8" xfId="0" applyFont="1" applyFill="1" applyBorder="1" applyAlignment="1">
      <alignment vertical="top" wrapText="1"/>
    </xf>
    <xf numFmtId="0" fontId="2" fillId="4" borderId="9" xfId="0" applyFont="1" applyFill="1" applyBorder="1" applyAlignment="1">
      <alignment vertical="top" wrapText="1"/>
    </xf>
    <xf numFmtId="0" fontId="2" fillId="4" borderId="10" xfId="0" applyFont="1" applyFill="1" applyBorder="1" applyAlignment="1">
      <alignment vertical="top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vertical="top" wrapText="1"/>
    </xf>
    <xf numFmtId="0" fontId="2" fillId="4" borderId="6" xfId="0" applyFont="1" applyFill="1" applyBorder="1" applyAlignment="1">
      <alignment vertical="top" wrapText="1"/>
    </xf>
    <xf numFmtId="0" fontId="0" fillId="0" borderId="0" xfId="0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right" vertical="center" wrapText="1"/>
    </xf>
    <xf numFmtId="0" fontId="2" fillId="0" borderId="1" xfId="1" applyFont="1"/>
    <xf numFmtId="0" fontId="2" fillId="0" borderId="1" xfId="1" applyFont="1" applyAlignment="1">
      <alignment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2" borderId="2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4D589AE3-460A-4B6F-9A53-586AE6C0692E}"/>
  </cellStyles>
  <dxfs count="43">
    <dxf>
      <font>
        <b/>
        <color rgb="FFB45F06"/>
      </font>
      <fill>
        <patternFill patternType="solid">
          <bgColor rgb="FFFCE5CD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17324D"/>
      </font>
      <fill>
        <patternFill patternType="solid">
          <bgColor rgb="FFDCE6F1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7D80FE-A5DA-4CF5-ABE2-F70A068C3994}" name="ExecutionPlanTable4" displayName="ExecutionPlanTable4" ref="A2:K23" totalsRowShown="0" headerRowDxfId="42" dataDxfId="40" headerRowBorderDxfId="41" tableBorderDxfId="39" totalsRowBorderDxfId="38">
  <tableColumns count="11">
    <tableColumn id="1" xr3:uid="{424EFC6E-9126-4012-94D8-05222AB32887}" name="Ngày" dataDxfId="37"/>
    <tableColumn id="3" xr3:uid="{D1D75909-1E27-4930-805B-8B2B84F726E8}" name="Ngày dự kiến" dataDxfId="36"/>
    <tableColumn id="4" xr3:uid="{F5064B66-AD40-4641-BBBB-EEC6037A23B0}" name="Nhóm việc" dataDxfId="35"/>
    <tableColumn id="5" xr3:uid="{9CC8EF76-1342-492F-80CC-551CBE7B4D84}" name="Công việc" dataDxfId="34"/>
    <tableColumn id="6" xr3:uid="{7ED040AF-558A-4583-BDFB-851DFEE17C39}" name="Kết quả cần đạt" dataDxfId="33"/>
    <tableColumn id="7" xr3:uid="{E585DE46-424D-46C8-9E47-3D490E51D3EF}" name="Ưu tiên" dataDxfId="32"/>
    <tableColumn id="8" xr3:uid="{9700ABBC-D6BA-4D38-8223-9A88F1F217D7}" name="Phụ thuộc" dataDxfId="31"/>
    <tableColumn id="9" xr3:uid="{A02CF17C-2D35-4A5B-ACD1-FCEA59B91A1A}" name="Trạng thái" dataDxfId="30"/>
    <tableColumn id="10" xr3:uid="{445120B0-6AC8-4051-BBBA-F56168EFDCDD}" name="Hoàn thành" dataDxfId="29"/>
    <tableColumn id="11" xr3:uid="{5295BAE1-EB1D-48A0-80A2-523819A657B1}" name="Mốc kiểm tra/demo" dataDxfId="28"/>
    <tableColumn id="12" xr3:uid="{401236B8-DD56-4A5D-948F-7DF4298D640A}" name="Ghi chú" dataDxfId="2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7C3005-9475-4C65-8F20-70BE23EE0F8E}" name="VMarketTestMatrix" displayName="VMarketTestMatrix" ref="A2:M59" headerRowDxfId="26" dataDxfId="25" totalsRowDxfId="24">
  <tableColumns count="13">
    <tableColumn id="1" xr3:uid="{53654D92-0625-4185-B47A-A1F61C16C673}" name="Test ID" dataDxfId="23"/>
    <tableColumn id="2" xr3:uid="{F0C6ED96-3DEA-41BA-BF8E-20DE73990434}" name="Nhóm" dataDxfId="22"/>
    <tableColumn id="3" xr3:uid="{2EFDAA3B-3957-4C07-BAE1-26AF626FB6D9}" name="Tầng test" dataDxfId="21"/>
    <tableColumn id="4" xr3:uid="{6C61007A-64E8-4ECC-8628-11C8A106FE7B}" name="Ưu tiên" dataDxfId="20"/>
    <tableColumn id="5" xr3:uid="{23AB457F-AB14-4F9F-A58A-E80B8E702F02}" name="Kịch bản" dataDxfId="19"/>
    <tableColumn id="6" xr3:uid="{CBBB2723-D5A4-4E78-998C-DF0AAE5E902E}" name="Điều kiện/Dữ liệu" dataDxfId="18"/>
    <tableColumn id="7" xr3:uid="{46F150A7-DD43-41E0-80C4-691ED21ADCC7}" name="Các bước chính" dataDxfId="17"/>
    <tableColumn id="8" xr3:uid="{E609ED4B-4353-4188-8430-9EA9FC223095}" name="Kết quả mong đợi" dataDxfId="16"/>
    <tableColumn id="9" xr3:uid="{772D99BD-80D7-4FD9-887E-A7AD367D3CBC}" name="Tự động hóa" dataDxfId="15"/>
    <tableColumn id="10" xr3:uid="{C0447127-2E23-408A-B433-F9223B8FCC8C}" name="Status" dataDxfId="14"/>
    <tableColumn id="11" xr3:uid="{B6E24A42-CDBC-4333-A1A3-A1AEFE0658BA}" name="Regression" dataDxfId="13"/>
    <tableColumn id="12" xr3:uid="{BAEC8027-C479-4F19-9639-4A9BAC6B6516}" name="Bug ID" dataDxfId="12"/>
    <tableColumn id="13" xr3:uid="{80E9072C-0D29-4728-908B-93B15D9F1C6D}" name="Ghi chú" dataDxf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D23" sqref="D23"/>
    </sheetView>
  </sheetViews>
  <sheetFormatPr defaultColWidth="9" defaultRowHeight="13.8"/>
  <cols>
    <col min="1" max="1" width="27" style="3" customWidth="1"/>
    <col min="2" max="2" width="56.19921875" style="3" customWidth="1"/>
    <col min="3" max="16384" width="9" style="3"/>
  </cols>
  <sheetData>
    <row r="1" spans="1:4" ht="21.9" customHeight="1">
      <c r="A1" s="38" t="s">
        <v>0</v>
      </c>
      <c r="B1" s="38"/>
      <c r="C1" s="2"/>
      <c r="D1" s="2"/>
    </row>
    <row r="2" spans="1:4" ht="21.9" customHeight="1"/>
    <row r="3" spans="1:4" ht="21.9" customHeight="1">
      <c r="A3" s="33" t="s">
        <v>1</v>
      </c>
      <c r="B3" s="33" t="s">
        <v>2</v>
      </c>
    </row>
    <row r="4" spans="1:4" ht="21.9" customHeight="1">
      <c r="A4" s="34" t="s">
        <v>3</v>
      </c>
      <c r="B4" s="35">
        <v>46225</v>
      </c>
    </row>
    <row r="5" spans="1:4" ht="21.9" customHeight="1">
      <c r="A5" s="34" t="s">
        <v>4</v>
      </c>
      <c r="B5" s="36" t="s">
        <v>5</v>
      </c>
    </row>
    <row r="6" spans="1:4" ht="21.9" customHeight="1">
      <c r="A6" s="34" t="s">
        <v>6</v>
      </c>
      <c r="B6" s="36" t="s">
        <v>7</v>
      </c>
    </row>
    <row r="7" spans="1:4" ht="21.9" customHeight="1">
      <c r="A7" s="34" t="s">
        <v>8</v>
      </c>
      <c r="B7" s="36" t="s">
        <v>9</v>
      </c>
    </row>
    <row r="8" spans="1:4" ht="21.9" customHeight="1">
      <c r="A8" s="34" t="s">
        <v>10</v>
      </c>
      <c r="B8" s="36" t="s">
        <v>11</v>
      </c>
    </row>
    <row r="9" spans="1:4" ht="21.9" customHeight="1"/>
    <row r="10" spans="1:4" ht="21.9" customHeight="1"/>
    <row r="11" spans="1:4" ht="21.9" customHeight="1"/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A32AE-25EB-48DD-B91D-ADFB2344FA77}">
  <dimension ref="A1:O31"/>
  <sheetViews>
    <sheetView tabSelected="1" workbookViewId="0">
      <selection activeCell="H6" sqref="H6"/>
    </sheetView>
  </sheetViews>
  <sheetFormatPr defaultColWidth="30.3984375" defaultRowHeight="45" customHeight="1"/>
  <cols>
    <col min="1" max="1" width="5.19921875" bestFit="1" customWidth="1"/>
    <col min="2" max="2" width="12.5" bestFit="1" customWidth="1"/>
    <col min="3" max="3" width="16.09765625" bestFit="1" customWidth="1"/>
    <col min="6" max="6" width="7.3984375" bestFit="1" customWidth="1"/>
    <col min="7" max="7" width="15.3984375" bestFit="1" customWidth="1"/>
    <col min="8" max="8" width="13.3984375" customWidth="1"/>
  </cols>
  <sheetData>
    <row r="1" spans="1:11" s="1" customFormat="1" ht="45" customHeight="1">
      <c r="A1" s="37" t="s">
        <v>12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45" customHeight="1">
      <c r="A2" s="30" t="s">
        <v>13</v>
      </c>
      <c r="B2" s="19" t="s">
        <v>14</v>
      </c>
      <c r="C2" s="19" t="s">
        <v>15</v>
      </c>
      <c r="D2" s="19" t="s">
        <v>16</v>
      </c>
      <c r="E2" s="19" t="s">
        <v>17</v>
      </c>
      <c r="F2" s="19" t="s">
        <v>18</v>
      </c>
      <c r="G2" s="19" t="s">
        <v>19</v>
      </c>
      <c r="H2" s="19" t="s">
        <v>20</v>
      </c>
      <c r="I2" s="19" t="s">
        <v>21</v>
      </c>
      <c r="J2" s="19" t="s">
        <v>22</v>
      </c>
      <c r="K2" s="20" t="s">
        <v>23</v>
      </c>
    </row>
    <row r="3" spans="1:11" ht="45" customHeight="1">
      <c r="A3" s="14"/>
      <c r="B3" s="14"/>
      <c r="C3" s="14"/>
      <c r="D3" s="13"/>
      <c r="E3" s="13"/>
      <c r="F3" s="13"/>
      <c r="G3" s="13"/>
      <c r="H3" s="13"/>
      <c r="I3" s="13"/>
      <c r="J3" s="13"/>
      <c r="K3" s="13"/>
    </row>
    <row r="4" spans="1:11" ht="45" customHeight="1">
      <c r="A4" s="15">
        <v>1</v>
      </c>
      <c r="B4" s="5">
        <f>INFO!$B$4+INT((A4-1)/5)*7+MOD(A4-1,5)</f>
        <v>46225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4" t="s">
        <v>29</v>
      </c>
      <c r="I4" s="6">
        <f>IF(H4="Done",100,IF(H4="In Progress",50,IF(H4="Blocked",25,0)))</f>
        <v>100</v>
      </c>
      <c r="J4" s="4" t="s">
        <v>30</v>
      </c>
      <c r="K4" s="16" t="s">
        <v>31</v>
      </c>
    </row>
    <row r="5" spans="1:11" ht="64.5" customHeight="1">
      <c r="A5" s="15">
        <v>2</v>
      </c>
      <c r="B5" s="5">
        <f>INFO!$B$4+INT((A5-1)/5)*7+MOD(A5-1,5)</f>
        <v>46226</v>
      </c>
      <c r="C5" s="4" t="s">
        <v>32</v>
      </c>
      <c r="D5" s="4" t="s">
        <v>33</v>
      </c>
      <c r="E5" s="4" t="s">
        <v>34</v>
      </c>
      <c r="F5" s="4" t="s">
        <v>27</v>
      </c>
      <c r="G5" s="4" t="s">
        <v>35</v>
      </c>
      <c r="H5" s="4" t="s">
        <v>29</v>
      </c>
      <c r="I5" s="6">
        <v>100</v>
      </c>
      <c r="J5" s="4" t="s">
        <v>37</v>
      </c>
      <c r="K5" s="16" t="s">
        <v>38</v>
      </c>
    </row>
    <row r="6" spans="1:11" ht="45" customHeight="1">
      <c r="A6" s="15">
        <v>3</v>
      </c>
      <c r="B6" s="5">
        <f>INFO!$B$4+INT((A6-1)/5)*7+MOD(A6-1,5)</f>
        <v>46227</v>
      </c>
      <c r="C6" s="4" t="s">
        <v>39</v>
      </c>
      <c r="D6" s="4" t="s">
        <v>40</v>
      </c>
      <c r="E6" s="4" t="s">
        <v>41</v>
      </c>
      <c r="F6" s="4" t="s">
        <v>27</v>
      </c>
      <c r="G6" s="4" t="s">
        <v>42</v>
      </c>
      <c r="H6" s="4" t="s">
        <v>29</v>
      </c>
      <c r="I6" s="6">
        <v>100</v>
      </c>
      <c r="J6" s="4" t="s">
        <v>44</v>
      </c>
      <c r="K6" s="16" t="s">
        <v>45</v>
      </c>
    </row>
    <row r="7" spans="1:11" ht="45" customHeight="1">
      <c r="A7" s="15">
        <v>4</v>
      </c>
      <c r="B7" s="5">
        <f>INFO!$B$4+INT((A7-1)/5)*7+MOD(A7-1,5)</f>
        <v>46228</v>
      </c>
      <c r="C7" s="4" t="s">
        <v>46</v>
      </c>
      <c r="D7" s="4" t="s">
        <v>47</v>
      </c>
      <c r="E7" s="4" t="s">
        <v>48</v>
      </c>
      <c r="F7" s="4" t="s">
        <v>27</v>
      </c>
      <c r="G7" s="4" t="s">
        <v>49</v>
      </c>
      <c r="H7" s="4" t="s">
        <v>29</v>
      </c>
      <c r="I7" s="6">
        <v>100</v>
      </c>
      <c r="J7" s="4" t="s">
        <v>50</v>
      </c>
      <c r="K7" s="16" t="s">
        <v>51</v>
      </c>
    </row>
    <row r="8" spans="1:11" ht="45" customHeight="1">
      <c r="A8" s="15">
        <v>5</v>
      </c>
      <c r="B8" s="8">
        <f>INFO!$B$4+INT((A8-1)/5)*7+MOD(A8-1,5)</f>
        <v>46229</v>
      </c>
      <c r="C8" s="7" t="s">
        <v>52</v>
      </c>
      <c r="D8" s="7" t="s">
        <v>53</v>
      </c>
      <c r="E8" s="7" t="s">
        <v>54</v>
      </c>
      <c r="F8" s="7" t="s">
        <v>27</v>
      </c>
      <c r="G8" s="4" t="s">
        <v>55</v>
      </c>
      <c r="H8" s="7" t="s">
        <v>29</v>
      </c>
      <c r="I8" s="9">
        <v>100</v>
      </c>
      <c r="J8" s="7" t="s">
        <v>56</v>
      </c>
      <c r="K8" s="18" t="s">
        <v>57</v>
      </c>
    </row>
    <row r="9" spans="1:11" ht="45" customHeight="1">
      <c r="A9" s="21">
        <v>6</v>
      </c>
      <c r="B9" s="11">
        <f>INFO!$B$4+INT((A9-1)/5)*7+MOD(A9-1,5)</f>
        <v>46232</v>
      </c>
      <c r="C9" s="10" t="s">
        <v>58</v>
      </c>
      <c r="D9" s="10" t="s">
        <v>59</v>
      </c>
      <c r="E9" s="10" t="s">
        <v>60</v>
      </c>
      <c r="F9" s="10" t="s">
        <v>27</v>
      </c>
      <c r="G9" s="10" t="s">
        <v>55</v>
      </c>
      <c r="H9" s="10" t="s">
        <v>29</v>
      </c>
      <c r="I9" s="12">
        <v>100</v>
      </c>
      <c r="J9" s="10" t="s">
        <v>61</v>
      </c>
      <c r="K9" s="22" t="s">
        <v>62</v>
      </c>
    </row>
    <row r="10" spans="1:11" ht="45" customHeight="1">
      <c r="A10" s="15">
        <v>7</v>
      </c>
      <c r="B10" s="5">
        <f>INFO!$B$4+INT((A10-1)/5)*7+MOD(A10-1,5)</f>
        <v>46233</v>
      </c>
      <c r="C10" s="4" t="s">
        <v>63</v>
      </c>
      <c r="D10" s="4" t="s">
        <v>64</v>
      </c>
      <c r="E10" s="4" t="s">
        <v>65</v>
      </c>
      <c r="F10" s="4" t="s">
        <v>27</v>
      </c>
      <c r="G10" s="4" t="s">
        <v>66</v>
      </c>
      <c r="H10" s="4" t="s">
        <v>29</v>
      </c>
      <c r="I10" s="6">
        <v>100</v>
      </c>
      <c r="J10" s="4" t="s">
        <v>67</v>
      </c>
      <c r="K10" s="16" t="s">
        <v>68</v>
      </c>
    </row>
    <row r="11" spans="1:11" ht="45" customHeight="1">
      <c r="A11" s="15">
        <v>8</v>
      </c>
      <c r="B11" s="5">
        <f>INFO!$B$4+INT((A11-1)/5)*7+MOD(A11-1,5)</f>
        <v>46234</v>
      </c>
      <c r="C11" s="4" t="s">
        <v>69</v>
      </c>
      <c r="D11" s="4" t="s">
        <v>70</v>
      </c>
      <c r="E11" s="4" t="s">
        <v>71</v>
      </c>
      <c r="F11" s="4" t="s">
        <v>27</v>
      </c>
      <c r="G11" s="4" t="s">
        <v>72</v>
      </c>
      <c r="H11" s="4" t="s">
        <v>29</v>
      </c>
      <c r="I11" s="6">
        <v>100</v>
      </c>
      <c r="J11" s="4" t="s">
        <v>73</v>
      </c>
      <c r="K11" s="16" t="s">
        <v>74</v>
      </c>
    </row>
    <row r="12" spans="1:11" ht="45" customHeight="1">
      <c r="A12" s="15">
        <v>9</v>
      </c>
      <c r="B12" s="5">
        <f>INFO!$B$4+INT((A12-1)/5)*7+MOD(A12-1,5)</f>
        <v>46235</v>
      </c>
      <c r="C12" s="4" t="s">
        <v>75</v>
      </c>
      <c r="D12" s="4" t="s">
        <v>76</v>
      </c>
      <c r="E12" s="4" t="s">
        <v>77</v>
      </c>
      <c r="F12" s="4" t="s">
        <v>27</v>
      </c>
      <c r="G12" s="4" t="s">
        <v>78</v>
      </c>
      <c r="H12" s="4" t="s">
        <v>29</v>
      </c>
      <c r="I12" s="6">
        <v>100</v>
      </c>
      <c r="J12" s="4" t="s">
        <v>79</v>
      </c>
      <c r="K12" s="16" t="s">
        <v>80</v>
      </c>
    </row>
    <row r="13" spans="1:11" ht="45" customHeight="1">
      <c r="A13" s="17">
        <v>10</v>
      </c>
      <c r="B13" s="8">
        <f>INFO!$B$4+INT((A13-1)/5)*7+MOD(A13-1,5)</f>
        <v>46236</v>
      </c>
      <c r="C13" s="7" t="s">
        <v>81</v>
      </c>
      <c r="D13" s="7" t="s">
        <v>82</v>
      </c>
      <c r="E13" s="7" t="s">
        <v>83</v>
      </c>
      <c r="F13" s="7" t="s">
        <v>27</v>
      </c>
      <c r="G13" s="7" t="s">
        <v>84</v>
      </c>
      <c r="H13" s="7" t="s">
        <v>29</v>
      </c>
      <c r="I13" s="9">
        <v>100</v>
      </c>
      <c r="J13" s="7" t="s">
        <v>85</v>
      </c>
      <c r="K13" s="18" t="s">
        <v>86</v>
      </c>
    </row>
    <row r="14" spans="1:11" ht="45" customHeight="1">
      <c r="A14" s="21">
        <v>11</v>
      </c>
      <c r="B14" s="11">
        <f>INFO!$B$4+INT((A14-1)/5)*7+MOD(A14-1,5)</f>
        <v>46239</v>
      </c>
      <c r="C14" s="10" t="s">
        <v>87</v>
      </c>
      <c r="D14" s="10" t="s">
        <v>88</v>
      </c>
      <c r="E14" s="10" t="s">
        <v>89</v>
      </c>
      <c r="F14" s="10" t="s">
        <v>27</v>
      </c>
      <c r="G14" s="10" t="s">
        <v>90</v>
      </c>
      <c r="H14" s="10" t="s">
        <v>29</v>
      </c>
      <c r="I14" s="12">
        <v>100</v>
      </c>
      <c r="J14" s="10" t="s">
        <v>91</v>
      </c>
      <c r="K14" s="22" t="s">
        <v>92</v>
      </c>
    </row>
    <row r="15" spans="1:11" ht="45" customHeight="1">
      <c r="A15" s="15">
        <v>12</v>
      </c>
      <c r="B15" s="5">
        <f>INFO!$B$4+INT((A15-1)/5)*7+MOD(A15-1,5)</f>
        <v>46240</v>
      </c>
      <c r="C15" s="4" t="s">
        <v>93</v>
      </c>
      <c r="D15" s="4" t="s">
        <v>94</v>
      </c>
      <c r="E15" s="4" t="s">
        <v>95</v>
      </c>
      <c r="F15" s="4" t="s">
        <v>27</v>
      </c>
      <c r="G15" s="4" t="s">
        <v>96</v>
      </c>
      <c r="H15" s="4" t="s">
        <v>36</v>
      </c>
      <c r="I15" s="6">
        <v>50</v>
      </c>
      <c r="J15" s="4" t="s">
        <v>97</v>
      </c>
      <c r="K15" s="16" t="s">
        <v>98</v>
      </c>
    </row>
    <row r="16" spans="1:11" ht="45" customHeight="1">
      <c r="A16" s="15">
        <v>13</v>
      </c>
      <c r="B16" s="5">
        <f>INFO!$B$4+INT((A16-1)/5)*7+MOD(A16-1,5)</f>
        <v>46241</v>
      </c>
      <c r="C16" s="4" t="s">
        <v>99</v>
      </c>
      <c r="D16" s="4" t="s">
        <v>100</v>
      </c>
      <c r="E16" s="4" t="s">
        <v>101</v>
      </c>
      <c r="F16" s="4" t="s">
        <v>27</v>
      </c>
      <c r="G16" s="4" t="s">
        <v>102</v>
      </c>
      <c r="H16" s="4" t="s">
        <v>29</v>
      </c>
      <c r="I16" s="6">
        <v>100</v>
      </c>
      <c r="J16" s="4" t="s">
        <v>103</v>
      </c>
      <c r="K16" s="16" t="s">
        <v>104</v>
      </c>
    </row>
    <row r="17" spans="1:15" ht="45" customHeight="1">
      <c r="A17" s="15">
        <v>14</v>
      </c>
      <c r="B17" s="5">
        <f>INFO!$B$4+INT((A17-1)/5)*7+MOD(A17-1,5)</f>
        <v>46242</v>
      </c>
      <c r="C17" s="4" t="s">
        <v>105</v>
      </c>
      <c r="D17" s="4" t="s">
        <v>106</v>
      </c>
      <c r="E17" s="4" t="s">
        <v>107</v>
      </c>
      <c r="F17" s="4" t="s">
        <v>108</v>
      </c>
      <c r="G17" s="4" t="s">
        <v>109</v>
      </c>
      <c r="H17" s="4" t="s">
        <v>36</v>
      </c>
      <c r="I17" s="6">
        <v>80</v>
      </c>
      <c r="J17" s="4" t="s">
        <v>110</v>
      </c>
      <c r="K17" s="16" t="s">
        <v>111</v>
      </c>
    </row>
    <row r="18" spans="1:15" ht="45" customHeight="1">
      <c r="A18" s="17">
        <v>15</v>
      </c>
      <c r="B18" s="8">
        <f>INFO!$B$4+INT((A18-1)/5)*7+MOD(A18-1,5)</f>
        <v>46243</v>
      </c>
      <c r="C18" s="7" t="s">
        <v>112</v>
      </c>
      <c r="D18" s="7" t="s">
        <v>113</v>
      </c>
      <c r="E18" s="7" t="s">
        <v>114</v>
      </c>
      <c r="F18" s="7" t="s">
        <v>27</v>
      </c>
      <c r="G18" s="7" t="s">
        <v>115</v>
      </c>
      <c r="H18" s="7" t="s">
        <v>29</v>
      </c>
      <c r="I18" s="9">
        <v>100</v>
      </c>
      <c r="J18" s="7" t="s">
        <v>116</v>
      </c>
      <c r="K18" s="18" t="s">
        <v>117</v>
      </c>
    </row>
    <row r="19" spans="1:15" ht="45" customHeight="1">
      <c r="A19" s="21">
        <v>16</v>
      </c>
      <c r="B19" s="11">
        <f>INFO!$B$4+INT((A19-1)/5)*7+MOD(A19-1,5)</f>
        <v>46246</v>
      </c>
      <c r="C19" s="10" t="s">
        <v>118</v>
      </c>
      <c r="D19" s="10" t="s">
        <v>119</v>
      </c>
      <c r="E19" s="10" t="s">
        <v>120</v>
      </c>
      <c r="F19" s="10" t="s">
        <v>108</v>
      </c>
      <c r="G19" s="10" t="s">
        <v>121</v>
      </c>
      <c r="H19" s="10" t="s">
        <v>29</v>
      </c>
      <c r="I19" s="12">
        <v>100</v>
      </c>
      <c r="J19" s="10" t="s">
        <v>122</v>
      </c>
      <c r="K19" s="22" t="s">
        <v>123</v>
      </c>
    </row>
    <row r="20" spans="1:15" ht="45" customHeight="1">
      <c r="A20" s="15">
        <v>17</v>
      </c>
      <c r="B20" s="5">
        <f>INFO!$B$4+INT((A20-1)/5)*7+MOD(A20-1,5)</f>
        <v>46247</v>
      </c>
      <c r="C20" s="4" t="s">
        <v>124</v>
      </c>
      <c r="D20" s="4" t="s">
        <v>125</v>
      </c>
      <c r="E20" s="4" t="s">
        <v>126</v>
      </c>
      <c r="F20" s="4" t="s">
        <v>127</v>
      </c>
      <c r="G20" s="4" t="s">
        <v>128</v>
      </c>
      <c r="H20" s="4" t="s">
        <v>29</v>
      </c>
      <c r="I20" s="6">
        <v>100</v>
      </c>
      <c r="J20" s="4" t="s">
        <v>129</v>
      </c>
      <c r="K20" s="16" t="s">
        <v>130</v>
      </c>
    </row>
    <row r="21" spans="1:15" ht="45" customHeight="1">
      <c r="A21" s="15">
        <v>18</v>
      </c>
      <c r="B21" s="5">
        <f>INFO!$B$4+INT((A21-1)/5)*7+MOD(A21-1,5)</f>
        <v>46248</v>
      </c>
      <c r="C21" s="4" t="s">
        <v>131</v>
      </c>
      <c r="D21" s="4" t="s">
        <v>132</v>
      </c>
      <c r="E21" s="4" t="s">
        <v>133</v>
      </c>
      <c r="F21" s="4" t="s">
        <v>27</v>
      </c>
      <c r="G21" s="4" t="s">
        <v>134</v>
      </c>
      <c r="H21" s="4" t="s">
        <v>36</v>
      </c>
      <c r="I21" s="6">
        <v>40</v>
      </c>
      <c r="J21" s="4" t="s">
        <v>135</v>
      </c>
      <c r="K21" s="16" t="s">
        <v>136</v>
      </c>
    </row>
    <row r="22" spans="1:15" ht="45" customHeight="1">
      <c r="A22" s="15">
        <v>19</v>
      </c>
      <c r="B22" s="5">
        <f>INFO!$B$4+INT((A22-1)/5)*7+MOD(A22-1,5)</f>
        <v>46249</v>
      </c>
      <c r="C22" s="4" t="s">
        <v>137</v>
      </c>
      <c r="D22" s="4" t="s">
        <v>138</v>
      </c>
      <c r="E22" s="4" t="s">
        <v>139</v>
      </c>
      <c r="F22" s="4" t="s">
        <v>27</v>
      </c>
      <c r="G22" s="4" t="s">
        <v>140</v>
      </c>
      <c r="H22" s="4" t="s">
        <v>36</v>
      </c>
      <c r="I22" s="6">
        <v>50</v>
      </c>
      <c r="J22" s="4" t="s">
        <v>141</v>
      </c>
      <c r="K22" s="16" t="s">
        <v>142</v>
      </c>
    </row>
    <row r="23" spans="1:15" ht="45" customHeight="1">
      <c r="A23" s="17">
        <v>20</v>
      </c>
      <c r="B23" s="8">
        <f>INFO!$B$4+INT((A23-1)/5)*7+MOD(A23-1,5)</f>
        <v>46250</v>
      </c>
      <c r="C23" s="7" t="s">
        <v>143</v>
      </c>
      <c r="D23" s="7" t="s">
        <v>144</v>
      </c>
      <c r="E23" s="7" t="s">
        <v>145</v>
      </c>
      <c r="F23" s="7" t="s">
        <v>27</v>
      </c>
      <c r="G23" s="7" t="s">
        <v>146</v>
      </c>
      <c r="H23" s="7" t="s">
        <v>43</v>
      </c>
      <c r="I23" s="9">
        <v>0</v>
      </c>
      <c r="J23" s="7" t="s">
        <v>147</v>
      </c>
      <c r="K23" s="18" t="s">
        <v>148</v>
      </c>
    </row>
    <row r="26" spans="1:15" ht="45" customHeight="1">
      <c r="E26" s="24"/>
      <c r="F26" s="25"/>
      <c r="G26" s="25"/>
      <c r="H26" s="25"/>
      <c r="I26" s="25"/>
      <c r="J26" s="25"/>
      <c r="K26" s="25"/>
      <c r="L26" s="25"/>
      <c r="M26" s="24"/>
      <c r="N26" s="25"/>
      <c r="O26" s="25"/>
    </row>
    <row r="27" spans="1:15" ht="45" customHeight="1">
      <c r="E27" s="23"/>
      <c r="F27" s="26"/>
      <c r="G27" s="26"/>
      <c r="H27" s="26"/>
      <c r="I27" s="26"/>
      <c r="J27" s="26"/>
      <c r="K27" s="26"/>
      <c r="L27" s="26"/>
      <c r="M27" s="27"/>
      <c r="N27" s="26"/>
      <c r="O27" s="26"/>
    </row>
    <row r="28" spans="1:15" ht="45" customHeight="1">
      <c r="E28" s="23"/>
      <c r="F28" s="26"/>
      <c r="G28" s="26"/>
      <c r="H28" s="26"/>
      <c r="I28" s="26"/>
      <c r="J28" s="26"/>
      <c r="K28" s="26"/>
      <c r="L28" s="26"/>
      <c r="M28" s="27"/>
      <c r="N28" s="26"/>
      <c r="O28" s="26"/>
    </row>
    <row r="29" spans="1:15" ht="45" customHeight="1">
      <c r="E29" s="23"/>
      <c r="F29" s="26"/>
      <c r="G29" s="26"/>
      <c r="H29" s="26"/>
      <c r="I29" s="26"/>
      <c r="J29" s="26"/>
      <c r="K29" s="26"/>
      <c r="L29" s="26"/>
      <c r="M29" s="27"/>
      <c r="N29" s="26"/>
      <c r="O29" s="26"/>
    </row>
    <row r="30" spans="1:15" ht="45" customHeight="1">
      <c r="E30" s="23"/>
      <c r="F30" s="26"/>
      <c r="G30" s="26"/>
      <c r="H30" s="26"/>
      <c r="I30" s="26"/>
      <c r="J30" s="26"/>
      <c r="K30" s="26"/>
      <c r="L30" s="26"/>
      <c r="M30" s="27"/>
      <c r="N30" s="26"/>
      <c r="O30" s="26"/>
    </row>
    <row r="31" spans="1:15" ht="45" customHeight="1">
      <c r="E31" s="23"/>
      <c r="F31" s="26"/>
      <c r="G31" s="26"/>
      <c r="H31" s="26"/>
      <c r="I31" s="26"/>
      <c r="J31" s="26"/>
      <c r="K31" s="26"/>
      <c r="L31" s="26"/>
      <c r="M31" s="27"/>
      <c r="N31" s="26"/>
      <c r="O31" s="26"/>
    </row>
  </sheetData>
  <mergeCells count="1">
    <mergeCell ref="A1:K1"/>
  </mergeCells>
  <phoneticPr fontId="8" type="noConversion"/>
  <conditionalFormatting sqref="F3:F23">
    <cfRule type="expression" dxfId="10" priority="1">
      <formula>F3="P0"</formula>
    </cfRule>
    <cfRule type="expression" dxfId="9" priority="2">
      <formula>F3="P1"</formula>
    </cfRule>
    <cfRule type="expression" dxfId="8" priority="3">
      <formula>F3="P2"</formula>
    </cfRule>
  </conditionalFormatting>
  <conditionalFormatting sqref="H3:H23">
    <cfRule type="expression" dxfId="7" priority="4">
      <formula>H3="Done"</formula>
    </cfRule>
    <cfRule type="expression" dxfId="6" priority="5">
      <formula>H3="In Progress"</formula>
    </cfRule>
    <cfRule type="expression" dxfId="5" priority="6">
      <formula>H3="Blocked"</formula>
    </cfRule>
  </conditionalFormatting>
  <conditionalFormatting sqref="I3:I23">
    <cfRule type="dataBar" priority="77">
      <dataBar>
        <cfvo type="min"/>
        <cfvo type="max"/>
        <color rgb="FF2F5D7C"/>
      </dataBar>
    </cfRule>
    <cfRule type="dataBar" priority="78">
      <dataBar>
        <cfvo type="min"/>
        <cfvo type="max"/>
        <color rgb="FF2F5D7C"/>
      </dataBar>
      <extLst>
        <ext xmlns:x14="http://schemas.microsoft.com/office/spreadsheetml/2009/9/main" uri="{B025F937-C7B1-47D3-B67F-A62EFF666E3E}">
          <x14:id>{68269D32-D7DF-4F15-B271-8CDFA0F701A9}</x14:id>
        </ext>
      </extLst>
    </cfRule>
  </conditionalFormatting>
  <dataValidations count="2">
    <dataValidation type="list" sqref="H6:H23 H3:H5" xr:uid="{01BD226C-3C15-41C2-AFE3-193D230E1D80}">
      <formula1>"Not Started,In Progress,Blocked,Done"</formula1>
    </dataValidation>
    <dataValidation type="list" sqref="F6:F23 F3:F5" xr:uid="{1D3301D3-C255-47DF-BCB7-CD93EE2C8F39}">
      <formula1>"P0,P1,P2"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269D32-D7DF-4F15-B271-8CDFA0F701A9}">
            <x14:dataBar>
              <x14:cfvo type="min"/>
              <x14:cfvo type="max"/>
              <x14:negativeFillColor auto="1"/>
              <x14:axisColor auto="1"/>
            </x14:dataBar>
          </x14:cfRule>
          <xm:sqref>I3:I23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A1A88-33A2-401C-9748-06882D004064}">
  <dimension ref="A1:M199"/>
  <sheetViews>
    <sheetView zoomScale="96" zoomScaleNormal="96" workbookViewId="0">
      <selection activeCell="E54" sqref="E54"/>
    </sheetView>
  </sheetViews>
  <sheetFormatPr defaultColWidth="9" defaultRowHeight="13.8"/>
  <cols>
    <col min="1" max="1" width="13" style="28" customWidth="1"/>
    <col min="2" max="2" width="28" style="28" customWidth="1"/>
    <col min="3" max="3" width="16" style="28" customWidth="1"/>
    <col min="4" max="4" width="10" style="28" customWidth="1"/>
    <col min="5" max="5" width="38" style="28" customWidth="1"/>
    <col min="6" max="6" width="30" style="28" customWidth="1"/>
    <col min="7" max="7" width="34" style="28" customWidth="1"/>
    <col min="8" max="8" width="38" style="28" customWidth="1"/>
    <col min="9" max="11" width="14" style="28" customWidth="1"/>
    <col min="12" max="12" width="13" style="28" customWidth="1"/>
    <col min="13" max="13" width="28" style="28" customWidth="1"/>
    <col min="14" max="16384" width="9" style="28"/>
  </cols>
  <sheetData>
    <row r="1" spans="1:13" ht="38.1" customHeight="1">
      <c r="A1" s="39" t="s">
        <v>149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ht="38.1" customHeight="1">
      <c r="A2" s="31" t="s">
        <v>150</v>
      </c>
      <c r="B2" s="31" t="s">
        <v>151</v>
      </c>
      <c r="C2" s="31" t="s">
        <v>152</v>
      </c>
      <c r="D2" s="31" t="s">
        <v>18</v>
      </c>
      <c r="E2" s="31" t="s">
        <v>153</v>
      </c>
      <c r="F2" s="31" t="s">
        <v>154</v>
      </c>
      <c r="G2" s="31" t="s">
        <v>155</v>
      </c>
      <c r="H2" s="31" t="s">
        <v>156</v>
      </c>
      <c r="I2" s="31" t="s">
        <v>157</v>
      </c>
      <c r="J2" s="31" t="s">
        <v>158</v>
      </c>
      <c r="K2" s="31" t="s">
        <v>159</v>
      </c>
      <c r="L2" s="31" t="s">
        <v>160</v>
      </c>
      <c r="M2" s="31" t="s">
        <v>23</v>
      </c>
    </row>
    <row r="3" spans="1:13" ht="38.1" customHeight="1">
      <c r="A3" s="32" t="s">
        <v>161</v>
      </c>
      <c r="B3" s="32" t="s">
        <v>162</v>
      </c>
      <c r="C3" s="32" t="s">
        <v>163</v>
      </c>
      <c r="D3" s="32" t="s">
        <v>27</v>
      </c>
      <c r="E3" s="32" t="s">
        <v>164</v>
      </c>
      <c r="F3" s="32" t="s">
        <v>165</v>
      </c>
      <c r="G3" s="32" t="s">
        <v>166</v>
      </c>
      <c r="H3" s="32" t="s">
        <v>167</v>
      </c>
      <c r="I3" s="32" t="s">
        <v>168</v>
      </c>
      <c r="J3" s="32" t="s">
        <v>169</v>
      </c>
      <c r="K3" s="32" t="s">
        <v>170</v>
      </c>
      <c r="L3" s="32"/>
      <c r="M3" s="32"/>
    </row>
    <row r="4" spans="1:13" ht="38.1" customHeight="1">
      <c r="A4" s="32" t="s">
        <v>171</v>
      </c>
      <c r="B4" s="32" t="s">
        <v>162</v>
      </c>
      <c r="C4" s="32" t="s">
        <v>163</v>
      </c>
      <c r="D4" s="32" t="s">
        <v>27</v>
      </c>
      <c r="E4" s="32" t="s">
        <v>172</v>
      </c>
      <c r="F4" s="32" t="s">
        <v>173</v>
      </c>
      <c r="G4" s="32" t="s">
        <v>174</v>
      </c>
      <c r="H4" s="32" t="s">
        <v>175</v>
      </c>
      <c r="I4" s="32" t="s">
        <v>168</v>
      </c>
      <c r="J4" s="32" t="s">
        <v>169</v>
      </c>
      <c r="K4" s="32" t="s">
        <v>170</v>
      </c>
      <c r="L4" s="32"/>
      <c r="M4" s="32"/>
    </row>
    <row r="5" spans="1:13" ht="38.1" customHeight="1">
      <c r="A5" s="32" t="s">
        <v>176</v>
      </c>
      <c r="B5" s="32" t="s">
        <v>162</v>
      </c>
      <c r="C5" s="32" t="s">
        <v>177</v>
      </c>
      <c r="D5" s="32" t="s">
        <v>27</v>
      </c>
      <c r="E5" s="32" t="s">
        <v>178</v>
      </c>
      <c r="F5" s="32" t="s">
        <v>179</v>
      </c>
      <c r="G5" s="32" t="s">
        <v>180</v>
      </c>
      <c r="H5" s="32" t="s">
        <v>181</v>
      </c>
      <c r="I5" s="32" t="s">
        <v>168</v>
      </c>
      <c r="J5" s="32" t="s">
        <v>169</v>
      </c>
      <c r="K5" s="32" t="s">
        <v>170</v>
      </c>
      <c r="L5" s="32"/>
      <c r="M5" s="32"/>
    </row>
    <row r="6" spans="1:13" ht="38.1" customHeight="1">
      <c r="A6" s="32" t="s">
        <v>182</v>
      </c>
      <c r="B6" s="32" t="s">
        <v>162</v>
      </c>
      <c r="C6" s="32" t="s">
        <v>183</v>
      </c>
      <c r="D6" s="32" t="s">
        <v>27</v>
      </c>
      <c r="E6" s="32" t="s">
        <v>184</v>
      </c>
      <c r="F6" s="32" t="s">
        <v>185</v>
      </c>
      <c r="G6" s="32" t="s">
        <v>186</v>
      </c>
      <c r="H6" s="32" t="s">
        <v>187</v>
      </c>
      <c r="I6" s="32" t="s">
        <v>168</v>
      </c>
      <c r="J6" s="32" t="s">
        <v>169</v>
      </c>
      <c r="K6" s="32" t="s">
        <v>170</v>
      </c>
      <c r="L6" s="32"/>
      <c r="M6" s="32"/>
    </row>
    <row r="7" spans="1:13" ht="38.1" customHeight="1">
      <c r="A7" s="32" t="s">
        <v>188</v>
      </c>
      <c r="B7" s="32" t="s">
        <v>162</v>
      </c>
      <c r="C7" s="32" t="s">
        <v>183</v>
      </c>
      <c r="D7" s="32" t="s">
        <v>27</v>
      </c>
      <c r="E7" s="32" t="s">
        <v>189</v>
      </c>
      <c r="F7" s="32" t="s">
        <v>190</v>
      </c>
      <c r="G7" s="32" t="s">
        <v>191</v>
      </c>
      <c r="H7" s="32" t="s">
        <v>192</v>
      </c>
      <c r="I7" s="32" t="s">
        <v>168</v>
      </c>
      <c r="J7" s="32" t="s">
        <v>169</v>
      </c>
      <c r="K7" s="32" t="s">
        <v>170</v>
      </c>
      <c r="L7" s="32"/>
      <c r="M7" s="32"/>
    </row>
    <row r="8" spans="1:13" ht="38.1" customHeight="1">
      <c r="A8" s="32" t="s">
        <v>193</v>
      </c>
      <c r="B8" s="32" t="s">
        <v>162</v>
      </c>
      <c r="C8" s="32" t="s">
        <v>183</v>
      </c>
      <c r="D8" s="32" t="s">
        <v>108</v>
      </c>
      <c r="E8" s="32" t="s">
        <v>194</v>
      </c>
      <c r="F8" s="32" t="s">
        <v>195</v>
      </c>
      <c r="G8" s="32" t="s">
        <v>196</v>
      </c>
      <c r="H8" s="32" t="s">
        <v>197</v>
      </c>
      <c r="I8" s="32" t="s">
        <v>168</v>
      </c>
      <c r="J8" s="32" t="s">
        <v>169</v>
      </c>
      <c r="K8" s="32" t="s">
        <v>170</v>
      </c>
      <c r="L8" s="32"/>
      <c r="M8" s="32"/>
    </row>
    <row r="9" spans="1:13" ht="38.1" customHeight="1">
      <c r="A9" s="32" t="s">
        <v>198</v>
      </c>
      <c r="B9" s="32" t="s">
        <v>199</v>
      </c>
      <c r="C9" s="32" t="s">
        <v>163</v>
      </c>
      <c r="D9" s="32" t="s">
        <v>27</v>
      </c>
      <c r="E9" s="32" t="s">
        <v>200</v>
      </c>
      <c r="F9" s="32" t="s">
        <v>201</v>
      </c>
      <c r="G9" s="32" t="s">
        <v>202</v>
      </c>
      <c r="H9" s="32" t="s">
        <v>203</v>
      </c>
      <c r="I9" s="32" t="s">
        <v>168</v>
      </c>
      <c r="J9" s="32" t="s">
        <v>169</v>
      </c>
      <c r="K9" s="32" t="s">
        <v>170</v>
      </c>
      <c r="L9" s="32"/>
      <c r="M9" s="32"/>
    </row>
    <row r="10" spans="1:13" ht="38.1" customHeight="1">
      <c r="A10" s="32" t="s">
        <v>204</v>
      </c>
      <c r="B10" s="32" t="s">
        <v>199</v>
      </c>
      <c r="C10" s="32" t="s">
        <v>163</v>
      </c>
      <c r="D10" s="32" t="s">
        <v>108</v>
      </c>
      <c r="E10" s="32" t="s">
        <v>205</v>
      </c>
      <c r="F10" s="32" t="s">
        <v>206</v>
      </c>
      <c r="G10" s="32" t="s">
        <v>207</v>
      </c>
      <c r="H10" s="32" t="s">
        <v>208</v>
      </c>
      <c r="I10" s="32" t="s">
        <v>168</v>
      </c>
      <c r="J10" s="32" t="s">
        <v>169</v>
      </c>
      <c r="K10" s="32" t="s">
        <v>170</v>
      </c>
      <c r="L10" s="32"/>
      <c r="M10" s="32"/>
    </row>
    <row r="11" spans="1:13" ht="38.1" customHeight="1">
      <c r="A11" s="32" t="s">
        <v>209</v>
      </c>
      <c r="B11" s="32" t="s">
        <v>199</v>
      </c>
      <c r="C11" s="32" t="s">
        <v>210</v>
      </c>
      <c r="D11" s="32" t="s">
        <v>27</v>
      </c>
      <c r="E11" s="32" t="s">
        <v>211</v>
      </c>
      <c r="F11" s="32" t="s">
        <v>212</v>
      </c>
      <c r="G11" s="32" t="s">
        <v>213</v>
      </c>
      <c r="H11" s="32" t="s">
        <v>214</v>
      </c>
      <c r="I11" s="32" t="s">
        <v>168</v>
      </c>
      <c r="J11" s="32" t="s">
        <v>169</v>
      </c>
      <c r="K11" s="32" t="s">
        <v>170</v>
      </c>
      <c r="L11" s="32"/>
      <c r="M11" s="32"/>
    </row>
    <row r="12" spans="1:13" ht="38.1" customHeight="1">
      <c r="A12" s="32" t="s">
        <v>215</v>
      </c>
      <c r="B12" s="32" t="s">
        <v>199</v>
      </c>
      <c r="C12" s="32" t="s">
        <v>210</v>
      </c>
      <c r="D12" s="32" t="s">
        <v>27</v>
      </c>
      <c r="E12" s="32" t="s">
        <v>216</v>
      </c>
      <c r="F12" s="32" t="s">
        <v>212</v>
      </c>
      <c r="G12" s="32" t="s">
        <v>217</v>
      </c>
      <c r="H12" s="32" t="s">
        <v>218</v>
      </c>
      <c r="I12" s="32" t="s">
        <v>168</v>
      </c>
      <c r="J12" s="32" t="s">
        <v>169</v>
      </c>
      <c r="K12" s="32" t="s">
        <v>170</v>
      </c>
      <c r="L12" s="32"/>
      <c r="M12" s="32"/>
    </row>
    <row r="13" spans="1:13" ht="38.1" customHeight="1">
      <c r="A13" s="32" t="s">
        <v>219</v>
      </c>
      <c r="B13" s="32" t="s">
        <v>199</v>
      </c>
      <c r="C13" s="32" t="s">
        <v>210</v>
      </c>
      <c r="D13" s="32" t="s">
        <v>27</v>
      </c>
      <c r="E13" s="32" t="s">
        <v>220</v>
      </c>
      <c r="F13" s="32" t="s">
        <v>212</v>
      </c>
      <c r="G13" s="32" t="s">
        <v>221</v>
      </c>
      <c r="H13" s="32" t="s">
        <v>218</v>
      </c>
      <c r="I13" s="32" t="s">
        <v>168</v>
      </c>
      <c r="J13" s="32" t="s">
        <v>169</v>
      </c>
      <c r="K13" s="32" t="s">
        <v>170</v>
      </c>
      <c r="L13" s="32"/>
      <c r="M13" s="32"/>
    </row>
    <row r="14" spans="1:13" ht="38.1" customHeight="1">
      <c r="A14" s="32" t="s">
        <v>222</v>
      </c>
      <c r="B14" s="32" t="s">
        <v>199</v>
      </c>
      <c r="C14" s="32" t="s">
        <v>163</v>
      </c>
      <c r="D14" s="32" t="s">
        <v>27</v>
      </c>
      <c r="E14" s="32" t="s">
        <v>223</v>
      </c>
      <c r="F14" s="32" t="s">
        <v>224</v>
      </c>
      <c r="G14" s="32" t="s">
        <v>225</v>
      </c>
      <c r="H14" s="32" t="s">
        <v>226</v>
      </c>
      <c r="I14" s="32" t="s">
        <v>168</v>
      </c>
      <c r="J14" s="32" t="s">
        <v>169</v>
      </c>
      <c r="K14" s="32" t="s">
        <v>170</v>
      </c>
      <c r="L14" s="32"/>
      <c r="M14" s="32"/>
    </row>
    <row r="15" spans="1:13" ht="38.1" customHeight="1">
      <c r="A15" s="32" t="s">
        <v>227</v>
      </c>
      <c r="B15" s="32" t="s">
        <v>199</v>
      </c>
      <c r="C15" s="32" t="s">
        <v>163</v>
      </c>
      <c r="D15" s="32" t="s">
        <v>108</v>
      </c>
      <c r="E15" s="32" t="s">
        <v>228</v>
      </c>
      <c r="F15" s="32" t="s">
        <v>229</v>
      </c>
      <c r="G15" s="32" t="s">
        <v>230</v>
      </c>
      <c r="H15" s="32" t="s">
        <v>231</v>
      </c>
      <c r="I15" s="32" t="s">
        <v>168</v>
      </c>
      <c r="J15" s="32" t="s">
        <v>169</v>
      </c>
      <c r="K15" s="32" t="s">
        <v>170</v>
      </c>
      <c r="L15" s="32"/>
      <c r="M15" s="32"/>
    </row>
    <row r="16" spans="1:13" ht="38.1" customHeight="1">
      <c r="A16" s="32" t="s">
        <v>232</v>
      </c>
      <c r="B16" s="32" t="s">
        <v>199</v>
      </c>
      <c r="C16" s="32" t="s">
        <v>183</v>
      </c>
      <c r="D16" s="32" t="s">
        <v>108</v>
      </c>
      <c r="E16" s="32" t="s">
        <v>233</v>
      </c>
      <c r="F16" s="32" t="s">
        <v>234</v>
      </c>
      <c r="G16" s="32" t="s">
        <v>235</v>
      </c>
      <c r="H16" s="32" t="s">
        <v>236</v>
      </c>
      <c r="I16" s="32" t="s">
        <v>168</v>
      </c>
      <c r="J16" s="32" t="s">
        <v>169</v>
      </c>
      <c r="K16" s="32" t="s">
        <v>170</v>
      </c>
      <c r="L16" s="32"/>
      <c r="M16" s="32"/>
    </row>
    <row r="17" spans="1:13" ht="38.1" customHeight="1">
      <c r="A17" s="32" t="s">
        <v>237</v>
      </c>
      <c r="B17" s="32" t="s">
        <v>238</v>
      </c>
      <c r="C17" s="32" t="s">
        <v>163</v>
      </c>
      <c r="D17" s="32" t="s">
        <v>27</v>
      </c>
      <c r="E17" s="32" t="s">
        <v>239</v>
      </c>
      <c r="F17" s="32" t="s">
        <v>240</v>
      </c>
      <c r="G17" s="32" t="s">
        <v>241</v>
      </c>
      <c r="H17" s="32" t="s">
        <v>242</v>
      </c>
      <c r="I17" s="32" t="s">
        <v>168</v>
      </c>
      <c r="J17" s="32" t="s">
        <v>169</v>
      </c>
      <c r="K17" s="32" t="s">
        <v>170</v>
      </c>
      <c r="L17" s="32"/>
      <c r="M17" s="32"/>
    </row>
    <row r="18" spans="1:13" ht="38.1" customHeight="1">
      <c r="A18" s="32" t="s">
        <v>243</v>
      </c>
      <c r="B18" s="32" t="s">
        <v>238</v>
      </c>
      <c r="C18" s="32" t="s">
        <v>210</v>
      </c>
      <c r="D18" s="32" t="s">
        <v>27</v>
      </c>
      <c r="E18" s="32" t="s">
        <v>244</v>
      </c>
      <c r="F18" s="32" t="s">
        <v>245</v>
      </c>
      <c r="G18" s="32" t="s">
        <v>246</v>
      </c>
      <c r="H18" s="32" t="s">
        <v>247</v>
      </c>
      <c r="I18" s="32" t="s">
        <v>168</v>
      </c>
      <c r="J18" s="32" t="s">
        <v>169</v>
      </c>
      <c r="K18" s="32" t="s">
        <v>170</v>
      </c>
      <c r="L18" s="32"/>
      <c r="M18" s="32"/>
    </row>
    <row r="19" spans="1:13" ht="38.1" customHeight="1">
      <c r="A19" s="32" t="s">
        <v>248</v>
      </c>
      <c r="B19" s="32" t="s">
        <v>238</v>
      </c>
      <c r="C19" s="32" t="s">
        <v>163</v>
      </c>
      <c r="D19" s="32" t="s">
        <v>27</v>
      </c>
      <c r="E19" s="32" t="s">
        <v>249</v>
      </c>
      <c r="F19" s="32" t="s">
        <v>250</v>
      </c>
      <c r="G19" s="32" t="s">
        <v>251</v>
      </c>
      <c r="H19" s="32" t="s">
        <v>252</v>
      </c>
      <c r="I19" s="32" t="s">
        <v>168</v>
      </c>
      <c r="J19" s="32" t="s">
        <v>169</v>
      </c>
      <c r="K19" s="32" t="s">
        <v>170</v>
      </c>
      <c r="L19" s="32"/>
      <c r="M19" s="32"/>
    </row>
    <row r="20" spans="1:13" ht="38.1" customHeight="1">
      <c r="A20" s="32" t="s">
        <v>253</v>
      </c>
      <c r="B20" s="32" t="s">
        <v>238</v>
      </c>
      <c r="C20" s="32" t="s">
        <v>163</v>
      </c>
      <c r="D20" s="32" t="s">
        <v>27</v>
      </c>
      <c r="E20" s="32" t="s">
        <v>254</v>
      </c>
      <c r="F20" s="32" t="s">
        <v>255</v>
      </c>
      <c r="G20" s="32" t="s">
        <v>256</v>
      </c>
      <c r="H20" s="32" t="s">
        <v>257</v>
      </c>
      <c r="I20" s="32" t="s">
        <v>168</v>
      </c>
      <c r="J20" s="32" t="s">
        <v>169</v>
      </c>
      <c r="K20" s="32" t="s">
        <v>170</v>
      </c>
      <c r="L20" s="32"/>
      <c r="M20" s="32"/>
    </row>
    <row r="21" spans="1:13" ht="38.1" customHeight="1">
      <c r="A21" s="32" t="s">
        <v>258</v>
      </c>
      <c r="B21" s="32" t="s">
        <v>238</v>
      </c>
      <c r="C21" s="32" t="s">
        <v>163</v>
      </c>
      <c r="D21" s="32" t="s">
        <v>27</v>
      </c>
      <c r="E21" s="32" t="s">
        <v>259</v>
      </c>
      <c r="F21" s="32" t="s">
        <v>255</v>
      </c>
      <c r="G21" s="32" t="s">
        <v>260</v>
      </c>
      <c r="H21" s="32" t="s">
        <v>261</v>
      </c>
      <c r="I21" s="32" t="s">
        <v>168</v>
      </c>
      <c r="J21" s="32" t="s">
        <v>169</v>
      </c>
      <c r="K21" s="32" t="s">
        <v>170</v>
      </c>
      <c r="L21" s="32"/>
      <c r="M21" s="32"/>
    </row>
    <row r="22" spans="1:13" ht="38.1" customHeight="1">
      <c r="A22" s="32" t="s">
        <v>262</v>
      </c>
      <c r="B22" s="32" t="s">
        <v>238</v>
      </c>
      <c r="C22" s="32" t="s">
        <v>210</v>
      </c>
      <c r="D22" s="32" t="s">
        <v>108</v>
      </c>
      <c r="E22" s="32" t="s">
        <v>263</v>
      </c>
      <c r="F22" s="32" t="s">
        <v>264</v>
      </c>
      <c r="G22" s="32" t="s">
        <v>265</v>
      </c>
      <c r="H22" s="32" t="s">
        <v>266</v>
      </c>
      <c r="I22" s="32" t="s">
        <v>168</v>
      </c>
      <c r="J22" s="32" t="s">
        <v>169</v>
      </c>
      <c r="K22" s="32" t="s">
        <v>170</v>
      </c>
      <c r="L22" s="32"/>
      <c r="M22" s="32"/>
    </row>
    <row r="23" spans="1:13" ht="38.1" customHeight="1">
      <c r="A23" s="32" t="s">
        <v>267</v>
      </c>
      <c r="B23" s="32" t="s">
        <v>268</v>
      </c>
      <c r="C23" s="32" t="s">
        <v>163</v>
      </c>
      <c r="D23" s="32" t="s">
        <v>27</v>
      </c>
      <c r="E23" s="32" t="s">
        <v>269</v>
      </c>
      <c r="F23" s="32" t="s">
        <v>270</v>
      </c>
      <c r="G23" s="32" t="s">
        <v>271</v>
      </c>
      <c r="H23" s="32" t="s">
        <v>272</v>
      </c>
      <c r="I23" s="32" t="s">
        <v>168</v>
      </c>
      <c r="J23" s="32" t="s">
        <v>169</v>
      </c>
      <c r="K23" s="32" t="s">
        <v>170</v>
      </c>
      <c r="L23" s="32"/>
      <c r="M23" s="32"/>
    </row>
    <row r="24" spans="1:13" ht="38.1" customHeight="1">
      <c r="A24" s="32" t="s">
        <v>273</v>
      </c>
      <c r="B24" s="32" t="s">
        <v>268</v>
      </c>
      <c r="C24" s="32" t="s">
        <v>163</v>
      </c>
      <c r="D24" s="32" t="s">
        <v>27</v>
      </c>
      <c r="E24" s="32" t="s">
        <v>274</v>
      </c>
      <c r="F24" s="32" t="s">
        <v>275</v>
      </c>
      <c r="G24" s="32" t="s">
        <v>271</v>
      </c>
      <c r="H24" s="32" t="s">
        <v>276</v>
      </c>
      <c r="I24" s="32" t="s">
        <v>168</v>
      </c>
      <c r="J24" s="32" t="s">
        <v>169</v>
      </c>
      <c r="K24" s="32" t="s">
        <v>170</v>
      </c>
      <c r="L24" s="32"/>
      <c r="M24" s="32"/>
    </row>
    <row r="25" spans="1:13" ht="38.1" customHeight="1">
      <c r="A25" s="32" t="s">
        <v>277</v>
      </c>
      <c r="B25" s="32" t="s">
        <v>268</v>
      </c>
      <c r="C25" s="32" t="s">
        <v>163</v>
      </c>
      <c r="D25" s="32" t="s">
        <v>27</v>
      </c>
      <c r="E25" s="32" t="s">
        <v>278</v>
      </c>
      <c r="F25" s="32" t="s">
        <v>279</v>
      </c>
      <c r="G25" s="32" t="s">
        <v>280</v>
      </c>
      <c r="H25" s="32" t="s">
        <v>281</v>
      </c>
      <c r="I25" s="32" t="s">
        <v>168</v>
      </c>
      <c r="J25" s="32" t="s">
        <v>169</v>
      </c>
      <c r="K25" s="32" t="s">
        <v>170</v>
      </c>
      <c r="L25" s="32"/>
      <c r="M25" s="32"/>
    </row>
    <row r="26" spans="1:13" ht="38.1" customHeight="1">
      <c r="A26" s="32" t="s">
        <v>282</v>
      </c>
      <c r="B26" s="32" t="s">
        <v>268</v>
      </c>
      <c r="C26" s="32" t="s">
        <v>163</v>
      </c>
      <c r="D26" s="32" t="s">
        <v>27</v>
      </c>
      <c r="E26" s="32" t="s">
        <v>283</v>
      </c>
      <c r="F26" s="32" t="s">
        <v>284</v>
      </c>
      <c r="G26" s="32" t="s">
        <v>285</v>
      </c>
      <c r="H26" s="32" t="s">
        <v>286</v>
      </c>
      <c r="I26" s="32" t="s">
        <v>168</v>
      </c>
      <c r="J26" s="32" t="s">
        <v>169</v>
      </c>
      <c r="K26" s="32" t="s">
        <v>170</v>
      </c>
      <c r="L26" s="32"/>
      <c r="M26" s="32"/>
    </row>
    <row r="27" spans="1:13" ht="38.1" customHeight="1">
      <c r="A27" s="32" t="s">
        <v>287</v>
      </c>
      <c r="B27" s="32" t="s">
        <v>268</v>
      </c>
      <c r="C27" s="32" t="s">
        <v>163</v>
      </c>
      <c r="D27" s="32" t="s">
        <v>27</v>
      </c>
      <c r="E27" s="32" t="s">
        <v>288</v>
      </c>
      <c r="F27" s="32" t="s">
        <v>289</v>
      </c>
      <c r="G27" s="32" t="s">
        <v>290</v>
      </c>
      <c r="H27" s="32" t="s">
        <v>291</v>
      </c>
      <c r="I27" s="32" t="s">
        <v>168</v>
      </c>
      <c r="J27" s="32" t="s">
        <v>169</v>
      </c>
      <c r="K27" s="32" t="s">
        <v>170</v>
      </c>
      <c r="L27" s="32"/>
      <c r="M27" s="32"/>
    </row>
    <row r="28" spans="1:13" ht="38.1" customHeight="1">
      <c r="A28" s="32" t="s">
        <v>292</v>
      </c>
      <c r="B28" s="32" t="s">
        <v>268</v>
      </c>
      <c r="C28" s="32" t="s">
        <v>183</v>
      </c>
      <c r="D28" s="32" t="s">
        <v>27</v>
      </c>
      <c r="E28" s="32" t="s">
        <v>293</v>
      </c>
      <c r="F28" s="32" t="s">
        <v>294</v>
      </c>
      <c r="G28" s="32" t="s">
        <v>63</v>
      </c>
      <c r="H28" s="32" t="s">
        <v>295</v>
      </c>
      <c r="I28" s="32" t="s">
        <v>168</v>
      </c>
      <c r="J28" s="32" t="s">
        <v>169</v>
      </c>
      <c r="K28" s="32" t="s">
        <v>170</v>
      </c>
      <c r="L28" s="32"/>
      <c r="M28" s="32"/>
    </row>
    <row r="29" spans="1:13" ht="38.1" customHeight="1">
      <c r="A29" s="32" t="s">
        <v>296</v>
      </c>
      <c r="B29" s="32" t="s">
        <v>297</v>
      </c>
      <c r="C29" s="32" t="s">
        <v>177</v>
      </c>
      <c r="D29" s="32" t="s">
        <v>27</v>
      </c>
      <c r="E29" s="32" t="s">
        <v>298</v>
      </c>
      <c r="F29" s="32" t="s">
        <v>299</v>
      </c>
      <c r="G29" s="32" t="s">
        <v>300</v>
      </c>
      <c r="H29" s="32" t="s">
        <v>301</v>
      </c>
      <c r="I29" s="32" t="s">
        <v>168</v>
      </c>
      <c r="J29" s="32" t="s">
        <v>169</v>
      </c>
      <c r="K29" s="32" t="s">
        <v>170</v>
      </c>
      <c r="L29" s="32"/>
      <c r="M29" s="32"/>
    </row>
    <row r="30" spans="1:13" ht="38.1" customHeight="1">
      <c r="A30" s="32" t="s">
        <v>302</v>
      </c>
      <c r="B30" s="32" t="s">
        <v>297</v>
      </c>
      <c r="C30" s="32" t="s">
        <v>163</v>
      </c>
      <c r="D30" s="32" t="s">
        <v>27</v>
      </c>
      <c r="E30" s="32" t="s">
        <v>303</v>
      </c>
      <c r="F30" s="32" t="s">
        <v>304</v>
      </c>
      <c r="G30" s="32" t="s">
        <v>305</v>
      </c>
      <c r="H30" s="32" t="s">
        <v>306</v>
      </c>
      <c r="I30" s="32" t="s">
        <v>168</v>
      </c>
      <c r="J30" s="32" t="s">
        <v>169</v>
      </c>
      <c r="K30" s="32" t="s">
        <v>170</v>
      </c>
      <c r="L30" s="32"/>
      <c r="M30" s="32"/>
    </row>
    <row r="31" spans="1:13" ht="38.1" customHeight="1">
      <c r="A31" s="32" t="s">
        <v>307</v>
      </c>
      <c r="B31" s="32" t="s">
        <v>297</v>
      </c>
      <c r="C31" s="32" t="s">
        <v>163</v>
      </c>
      <c r="D31" s="32" t="s">
        <v>27</v>
      </c>
      <c r="E31" s="32" t="s">
        <v>308</v>
      </c>
      <c r="F31" s="32" t="s">
        <v>304</v>
      </c>
      <c r="G31" s="32" t="s">
        <v>309</v>
      </c>
      <c r="H31" s="32" t="s">
        <v>310</v>
      </c>
      <c r="I31" s="32" t="s">
        <v>168</v>
      </c>
      <c r="J31" s="32" t="s">
        <v>169</v>
      </c>
      <c r="K31" s="32" t="s">
        <v>170</v>
      </c>
      <c r="L31" s="32"/>
      <c r="M31" s="32"/>
    </row>
    <row r="32" spans="1:13" ht="38.1" customHeight="1">
      <c r="A32" s="32" t="s">
        <v>311</v>
      </c>
      <c r="B32" s="32" t="s">
        <v>297</v>
      </c>
      <c r="C32" s="32" t="s">
        <v>163</v>
      </c>
      <c r="D32" s="32" t="s">
        <v>27</v>
      </c>
      <c r="E32" s="32" t="s">
        <v>312</v>
      </c>
      <c r="F32" s="32" t="s">
        <v>313</v>
      </c>
      <c r="G32" s="32" t="s">
        <v>314</v>
      </c>
      <c r="H32" s="32" t="s">
        <v>315</v>
      </c>
      <c r="I32" s="32" t="s">
        <v>168</v>
      </c>
      <c r="J32" s="32" t="s">
        <v>169</v>
      </c>
      <c r="K32" s="32" t="s">
        <v>170</v>
      </c>
      <c r="L32" s="32"/>
      <c r="M32" s="32"/>
    </row>
    <row r="33" spans="1:13" ht="38.1" customHeight="1">
      <c r="A33" s="32" t="s">
        <v>316</v>
      </c>
      <c r="B33" s="32" t="s">
        <v>297</v>
      </c>
      <c r="C33" s="32" t="s">
        <v>177</v>
      </c>
      <c r="D33" s="32" t="s">
        <v>27</v>
      </c>
      <c r="E33" s="32" t="s">
        <v>317</v>
      </c>
      <c r="F33" s="32" t="s">
        <v>318</v>
      </c>
      <c r="G33" s="32" t="s">
        <v>319</v>
      </c>
      <c r="H33" s="32" t="s">
        <v>320</v>
      </c>
      <c r="I33" s="32" t="s">
        <v>168</v>
      </c>
      <c r="J33" s="32" t="s">
        <v>169</v>
      </c>
      <c r="K33" s="32" t="s">
        <v>170</v>
      </c>
      <c r="L33" s="32"/>
      <c r="M33" s="32"/>
    </row>
    <row r="34" spans="1:13" ht="38.1" customHeight="1">
      <c r="A34" s="32" t="s">
        <v>321</v>
      </c>
      <c r="B34" s="32" t="s">
        <v>297</v>
      </c>
      <c r="C34" s="32" t="s">
        <v>163</v>
      </c>
      <c r="D34" s="32" t="s">
        <v>108</v>
      </c>
      <c r="E34" s="32" t="s">
        <v>322</v>
      </c>
      <c r="F34" s="32" t="s">
        <v>323</v>
      </c>
      <c r="G34" s="32" t="s">
        <v>324</v>
      </c>
      <c r="H34" s="32" t="s">
        <v>325</v>
      </c>
      <c r="I34" s="32" t="s">
        <v>326</v>
      </c>
      <c r="J34" s="32" t="s">
        <v>169</v>
      </c>
      <c r="K34" s="32" t="s">
        <v>170</v>
      </c>
      <c r="L34" s="32"/>
      <c r="M34" s="32"/>
    </row>
    <row r="35" spans="1:13" ht="38.1" customHeight="1">
      <c r="A35" s="32" t="s">
        <v>327</v>
      </c>
      <c r="B35" s="32" t="s">
        <v>328</v>
      </c>
      <c r="C35" s="32" t="s">
        <v>163</v>
      </c>
      <c r="D35" s="32" t="s">
        <v>27</v>
      </c>
      <c r="E35" s="32" t="s">
        <v>329</v>
      </c>
      <c r="F35" s="32" t="s">
        <v>330</v>
      </c>
      <c r="G35" s="32" t="s">
        <v>331</v>
      </c>
      <c r="H35" s="32" t="s">
        <v>332</v>
      </c>
      <c r="I35" s="32" t="s">
        <v>168</v>
      </c>
      <c r="J35" s="32" t="s">
        <v>169</v>
      </c>
      <c r="K35" s="32" t="s">
        <v>170</v>
      </c>
      <c r="L35" s="32"/>
      <c r="M35" s="32"/>
    </row>
    <row r="36" spans="1:13" ht="38.1" customHeight="1">
      <c r="A36" s="32" t="s">
        <v>333</v>
      </c>
      <c r="B36" s="32" t="s">
        <v>328</v>
      </c>
      <c r="C36" s="32" t="s">
        <v>163</v>
      </c>
      <c r="D36" s="32" t="s">
        <v>27</v>
      </c>
      <c r="E36" s="32" t="s">
        <v>334</v>
      </c>
      <c r="F36" s="32" t="s">
        <v>335</v>
      </c>
      <c r="G36" s="32" t="s">
        <v>336</v>
      </c>
      <c r="H36" s="32" t="s">
        <v>337</v>
      </c>
      <c r="I36" s="32" t="s">
        <v>168</v>
      </c>
      <c r="J36" s="32" t="s">
        <v>169</v>
      </c>
      <c r="K36" s="32" t="s">
        <v>170</v>
      </c>
      <c r="L36" s="32"/>
      <c r="M36" s="32"/>
    </row>
    <row r="37" spans="1:13" ht="38.1" customHeight="1">
      <c r="A37" s="32" t="s">
        <v>338</v>
      </c>
      <c r="B37" s="32" t="s">
        <v>328</v>
      </c>
      <c r="C37" s="32" t="s">
        <v>163</v>
      </c>
      <c r="D37" s="32" t="s">
        <v>27</v>
      </c>
      <c r="E37" s="32" t="s">
        <v>339</v>
      </c>
      <c r="F37" s="32" t="s">
        <v>335</v>
      </c>
      <c r="G37" s="32" t="s">
        <v>340</v>
      </c>
      <c r="H37" s="32" t="s">
        <v>341</v>
      </c>
      <c r="I37" s="32" t="s">
        <v>168</v>
      </c>
      <c r="J37" s="32" t="s">
        <v>169</v>
      </c>
      <c r="K37" s="32" t="s">
        <v>170</v>
      </c>
      <c r="L37" s="32"/>
      <c r="M37" s="32"/>
    </row>
    <row r="38" spans="1:13" ht="38.1" customHeight="1">
      <c r="A38" s="32" t="s">
        <v>342</v>
      </c>
      <c r="B38" s="32" t="s">
        <v>328</v>
      </c>
      <c r="C38" s="32" t="s">
        <v>163</v>
      </c>
      <c r="D38" s="32" t="s">
        <v>27</v>
      </c>
      <c r="E38" s="32" t="s">
        <v>343</v>
      </c>
      <c r="F38" s="32" t="s">
        <v>344</v>
      </c>
      <c r="G38" s="32" t="s">
        <v>345</v>
      </c>
      <c r="H38" s="32" t="s">
        <v>346</v>
      </c>
      <c r="I38" s="32" t="s">
        <v>168</v>
      </c>
      <c r="J38" s="32" t="s">
        <v>169</v>
      </c>
      <c r="K38" s="32" t="s">
        <v>170</v>
      </c>
      <c r="L38" s="32"/>
      <c r="M38" s="32"/>
    </row>
    <row r="39" spans="1:13" ht="38.1" customHeight="1">
      <c r="A39" s="32" t="s">
        <v>347</v>
      </c>
      <c r="B39" s="32" t="s">
        <v>328</v>
      </c>
      <c r="C39" s="32" t="s">
        <v>348</v>
      </c>
      <c r="D39" s="32" t="s">
        <v>27</v>
      </c>
      <c r="E39" s="32" t="s">
        <v>349</v>
      </c>
      <c r="F39" s="32" t="s">
        <v>350</v>
      </c>
      <c r="G39" s="32" t="s">
        <v>351</v>
      </c>
      <c r="H39" s="32" t="s">
        <v>352</v>
      </c>
      <c r="I39" s="32" t="s">
        <v>168</v>
      </c>
      <c r="J39" s="32" t="s">
        <v>169</v>
      </c>
      <c r="K39" s="32" t="s">
        <v>170</v>
      </c>
      <c r="L39" s="32"/>
      <c r="M39" s="32"/>
    </row>
    <row r="40" spans="1:13" ht="38.1" customHeight="1">
      <c r="A40" s="32" t="s">
        <v>353</v>
      </c>
      <c r="B40" s="32" t="s">
        <v>328</v>
      </c>
      <c r="C40" s="32" t="s">
        <v>348</v>
      </c>
      <c r="D40" s="32" t="s">
        <v>27</v>
      </c>
      <c r="E40" s="32" t="s">
        <v>354</v>
      </c>
      <c r="F40" s="32" t="s">
        <v>355</v>
      </c>
      <c r="G40" s="32" t="s">
        <v>356</v>
      </c>
      <c r="H40" s="32" t="s">
        <v>357</v>
      </c>
      <c r="I40" s="32" t="s">
        <v>168</v>
      </c>
      <c r="J40" s="32" t="s">
        <v>169</v>
      </c>
      <c r="K40" s="32" t="s">
        <v>170</v>
      </c>
      <c r="L40" s="32"/>
      <c r="M40" s="32"/>
    </row>
    <row r="41" spans="1:13" ht="38.1" customHeight="1">
      <c r="A41" s="32" t="s">
        <v>358</v>
      </c>
      <c r="B41" s="32" t="s">
        <v>328</v>
      </c>
      <c r="C41" s="32" t="s">
        <v>348</v>
      </c>
      <c r="D41" s="32" t="s">
        <v>108</v>
      </c>
      <c r="E41" s="32" t="s">
        <v>359</v>
      </c>
      <c r="F41" s="32" t="s">
        <v>360</v>
      </c>
      <c r="G41" s="32" t="s">
        <v>361</v>
      </c>
      <c r="H41" s="32" t="s">
        <v>362</v>
      </c>
      <c r="I41" s="32" t="s">
        <v>326</v>
      </c>
      <c r="J41" s="32" t="s">
        <v>169</v>
      </c>
      <c r="K41" s="32" t="s">
        <v>170</v>
      </c>
      <c r="L41" s="32"/>
      <c r="M41" s="32"/>
    </row>
    <row r="42" spans="1:13" ht="38.1" customHeight="1">
      <c r="A42" s="32" t="s">
        <v>363</v>
      </c>
      <c r="B42" s="32" t="s">
        <v>364</v>
      </c>
      <c r="C42" s="32" t="s">
        <v>210</v>
      </c>
      <c r="D42" s="32" t="s">
        <v>27</v>
      </c>
      <c r="E42" s="32" t="s">
        <v>365</v>
      </c>
      <c r="F42" s="32" t="s">
        <v>366</v>
      </c>
      <c r="G42" s="32" t="s">
        <v>367</v>
      </c>
      <c r="H42" s="32" t="s">
        <v>368</v>
      </c>
      <c r="I42" s="32" t="s">
        <v>168</v>
      </c>
      <c r="J42" s="32" t="s">
        <v>169</v>
      </c>
      <c r="K42" s="32" t="s">
        <v>170</v>
      </c>
      <c r="L42" s="32"/>
      <c r="M42" s="32"/>
    </row>
    <row r="43" spans="1:13" ht="38.1" customHeight="1">
      <c r="A43" s="32" t="s">
        <v>369</v>
      </c>
      <c r="B43" s="32" t="s">
        <v>364</v>
      </c>
      <c r="C43" s="32" t="s">
        <v>210</v>
      </c>
      <c r="D43" s="32" t="s">
        <v>27</v>
      </c>
      <c r="E43" s="32" t="s">
        <v>370</v>
      </c>
      <c r="F43" s="32" t="s">
        <v>371</v>
      </c>
      <c r="G43" s="32" t="s">
        <v>372</v>
      </c>
      <c r="H43" s="32" t="s">
        <v>373</v>
      </c>
      <c r="I43" s="32" t="s">
        <v>168</v>
      </c>
      <c r="J43" s="32" t="s">
        <v>169</v>
      </c>
      <c r="K43" s="32" t="s">
        <v>170</v>
      </c>
      <c r="L43" s="32"/>
      <c r="M43" s="32"/>
    </row>
    <row r="44" spans="1:13" ht="38.1" customHeight="1">
      <c r="A44" s="32" t="s">
        <v>374</v>
      </c>
      <c r="B44" s="32" t="s">
        <v>364</v>
      </c>
      <c r="C44" s="32" t="s">
        <v>210</v>
      </c>
      <c r="D44" s="32" t="s">
        <v>27</v>
      </c>
      <c r="E44" s="32" t="s">
        <v>375</v>
      </c>
      <c r="F44" s="32" t="s">
        <v>376</v>
      </c>
      <c r="G44" s="32" t="s">
        <v>377</v>
      </c>
      <c r="H44" s="32" t="s">
        <v>247</v>
      </c>
      <c r="I44" s="32" t="s">
        <v>168</v>
      </c>
      <c r="J44" s="32" t="s">
        <v>169</v>
      </c>
      <c r="K44" s="32" t="s">
        <v>170</v>
      </c>
      <c r="L44" s="32"/>
      <c r="M44" s="32"/>
    </row>
    <row r="45" spans="1:13" ht="38.1" customHeight="1">
      <c r="A45" s="32" t="s">
        <v>378</v>
      </c>
      <c r="B45" s="32" t="s">
        <v>364</v>
      </c>
      <c r="C45" s="32" t="s">
        <v>163</v>
      </c>
      <c r="D45" s="32" t="s">
        <v>27</v>
      </c>
      <c r="E45" s="32" t="s">
        <v>379</v>
      </c>
      <c r="F45" s="32" t="s">
        <v>380</v>
      </c>
      <c r="G45" s="32" t="s">
        <v>381</v>
      </c>
      <c r="H45" s="32" t="s">
        <v>382</v>
      </c>
      <c r="I45" s="32" t="s">
        <v>168</v>
      </c>
      <c r="J45" s="32" t="s">
        <v>169</v>
      </c>
      <c r="K45" s="32" t="s">
        <v>170</v>
      </c>
      <c r="L45" s="32"/>
      <c r="M45" s="32"/>
    </row>
    <row r="46" spans="1:13" ht="38.1" customHeight="1">
      <c r="A46" s="32" t="s">
        <v>383</v>
      </c>
      <c r="B46" s="32" t="s">
        <v>364</v>
      </c>
      <c r="C46" s="32" t="s">
        <v>163</v>
      </c>
      <c r="D46" s="32" t="s">
        <v>27</v>
      </c>
      <c r="E46" s="32" t="s">
        <v>384</v>
      </c>
      <c r="F46" s="32" t="s">
        <v>385</v>
      </c>
      <c r="G46" s="32" t="s">
        <v>381</v>
      </c>
      <c r="H46" s="32" t="s">
        <v>247</v>
      </c>
      <c r="I46" s="32" t="s">
        <v>168</v>
      </c>
      <c r="J46" s="32" t="s">
        <v>169</v>
      </c>
      <c r="K46" s="32" t="s">
        <v>170</v>
      </c>
      <c r="L46" s="32"/>
      <c r="M46" s="32"/>
    </row>
    <row r="47" spans="1:13" ht="38.1" customHeight="1">
      <c r="A47" s="32" t="s">
        <v>386</v>
      </c>
      <c r="B47" s="32" t="s">
        <v>364</v>
      </c>
      <c r="C47" s="32" t="s">
        <v>163</v>
      </c>
      <c r="D47" s="32" t="s">
        <v>108</v>
      </c>
      <c r="E47" s="32" t="s">
        <v>387</v>
      </c>
      <c r="F47" s="32" t="s">
        <v>388</v>
      </c>
      <c r="G47" s="32" t="s">
        <v>389</v>
      </c>
      <c r="H47" s="32" t="s">
        <v>390</v>
      </c>
      <c r="I47" s="32" t="s">
        <v>168</v>
      </c>
      <c r="J47" s="32" t="s">
        <v>169</v>
      </c>
      <c r="K47" s="32" t="s">
        <v>170</v>
      </c>
      <c r="L47" s="32"/>
      <c r="M47" s="32"/>
    </row>
    <row r="48" spans="1:13" ht="38.1" customHeight="1">
      <c r="A48" s="32" t="s">
        <v>391</v>
      </c>
      <c r="B48" s="32" t="s">
        <v>392</v>
      </c>
      <c r="C48" s="32" t="s">
        <v>183</v>
      </c>
      <c r="D48" s="32" t="s">
        <v>27</v>
      </c>
      <c r="E48" s="32" t="s">
        <v>393</v>
      </c>
      <c r="F48" s="32" t="s">
        <v>394</v>
      </c>
      <c r="G48" s="32" t="s">
        <v>395</v>
      </c>
      <c r="H48" s="32" t="s">
        <v>247</v>
      </c>
      <c r="I48" s="32" t="s">
        <v>168</v>
      </c>
      <c r="J48" s="32" t="s">
        <v>169</v>
      </c>
      <c r="K48" s="32" t="s">
        <v>170</v>
      </c>
      <c r="L48" s="32"/>
      <c r="M48" s="32"/>
    </row>
    <row r="49" spans="1:13" ht="38.1" customHeight="1">
      <c r="A49" s="32" t="s">
        <v>396</v>
      </c>
      <c r="B49" s="32" t="s">
        <v>392</v>
      </c>
      <c r="C49" s="32" t="s">
        <v>183</v>
      </c>
      <c r="D49" s="32" t="s">
        <v>27</v>
      </c>
      <c r="E49" s="32" t="s">
        <v>397</v>
      </c>
      <c r="F49" s="32" t="s">
        <v>398</v>
      </c>
      <c r="G49" s="32" t="s">
        <v>63</v>
      </c>
      <c r="H49" s="32" t="s">
        <v>399</v>
      </c>
      <c r="I49" s="32" t="s">
        <v>168</v>
      </c>
      <c r="J49" s="32" t="s">
        <v>169</v>
      </c>
      <c r="K49" s="32" t="s">
        <v>170</v>
      </c>
      <c r="L49" s="32"/>
      <c r="M49" s="32"/>
    </row>
    <row r="50" spans="1:13" ht="38.1" customHeight="1">
      <c r="A50" s="32" t="s">
        <v>400</v>
      </c>
      <c r="B50" s="32" t="s">
        <v>392</v>
      </c>
      <c r="C50" s="32" t="s">
        <v>401</v>
      </c>
      <c r="D50" s="32" t="s">
        <v>108</v>
      </c>
      <c r="E50" s="32" t="s">
        <v>402</v>
      </c>
      <c r="F50" s="32" t="s">
        <v>403</v>
      </c>
      <c r="G50" s="32" t="s">
        <v>63</v>
      </c>
      <c r="H50" s="32" t="s">
        <v>404</v>
      </c>
      <c r="I50" s="32" t="s">
        <v>326</v>
      </c>
      <c r="J50" s="32" t="s">
        <v>169</v>
      </c>
      <c r="K50" s="32" t="s">
        <v>170</v>
      </c>
      <c r="L50" s="32"/>
      <c r="M50" s="32"/>
    </row>
    <row r="51" spans="1:13" ht="38.1" customHeight="1">
      <c r="A51" s="32" t="s">
        <v>405</v>
      </c>
      <c r="B51" s="32" t="s">
        <v>392</v>
      </c>
      <c r="C51" s="32" t="s">
        <v>401</v>
      </c>
      <c r="D51" s="32" t="s">
        <v>27</v>
      </c>
      <c r="E51" s="32" t="s">
        <v>406</v>
      </c>
      <c r="F51" s="32" t="s">
        <v>407</v>
      </c>
      <c r="G51" s="32" t="s">
        <v>408</v>
      </c>
      <c r="H51" s="32" t="s">
        <v>409</v>
      </c>
      <c r="I51" s="32" t="s">
        <v>326</v>
      </c>
      <c r="J51" s="32" t="s">
        <v>169</v>
      </c>
      <c r="K51" s="32" t="s">
        <v>170</v>
      </c>
      <c r="L51" s="32"/>
      <c r="M51" s="32"/>
    </row>
    <row r="52" spans="1:13" ht="38.1" customHeight="1">
      <c r="A52" s="32" t="s">
        <v>410</v>
      </c>
      <c r="B52" s="32" t="s">
        <v>392</v>
      </c>
      <c r="C52" s="32" t="s">
        <v>183</v>
      </c>
      <c r="D52" s="32" t="s">
        <v>108</v>
      </c>
      <c r="E52" s="32" t="s">
        <v>411</v>
      </c>
      <c r="F52" s="32" t="s">
        <v>412</v>
      </c>
      <c r="G52" s="32" t="s">
        <v>413</v>
      </c>
      <c r="H52" s="32" t="s">
        <v>414</v>
      </c>
      <c r="I52" s="32" t="s">
        <v>326</v>
      </c>
      <c r="J52" s="32" t="s">
        <v>169</v>
      </c>
      <c r="K52" s="32" t="s">
        <v>170</v>
      </c>
      <c r="L52" s="32"/>
      <c r="M52" s="32"/>
    </row>
    <row r="53" spans="1:13" ht="38.1" customHeight="1">
      <c r="A53" s="32" t="s">
        <v>415</v>
      </c>
      <c r="B53" s="32" t="s">
        <v>392</v>
      </c>
      <c r="C53" s="32" t="s">
        <v>183</v>
      </c>
      <c r="D53" s="32" t="s">
        <v>108</v>
      </c>
      <c r="E53" s="32" t="s">
        <v>416</v>
      </c>
      <c r="F53" s="32" t="s">
        <v>417</v>
      </c>
      <c r="G53" s="32" t="s">
        <v>418</v>
      </c>
      <c r="H53" s="32" t="s">
        <v>419</v>
      </c>
      <c r="I53" s="32" t="s">
        <v>326</v>
      </c>
      <c r="J53" s="32" t="s">
        <v>169</v>
      </c>
      <c r="K53" s="32" t="s">
        <v>170</v>
      </c>
      <c r="L53" s="32"/>
      <c r="M53" s="32"/>
    </row>
    <row r="54" spans="1:13" ht="38.1" customHeight="1">
      <c r="A54" s="32" t="s">
        <v>420</v>
      </c>
      <c r="B54" s="32" t="s">
        <v>421</v>
      </c>
      <c r="C54" s="32" t="s">
        <v>422</v>
      </c>
      <c r="D54" s="32" t="s">
        <v>27</v>
      </c>
      <c r="E54" s="32" t="s">
        <v>423</v>
      </c>
      <c r="F54" s="32" t="s">
        <v>424</v>
      </c>
      <c r="G54" s="32" t="s">
        <v>425</v>
      </c>
      <c r="H54" s="32" t="s">
        <v>426</v>
      </c>
      <c r="I54" s="32" t="s">
        <v>326</v>
      </c>
      <c r="J54" s="32" t="s">
        <v>169</v>
      </c>
      <c r="K54" s="32" t="s">
        <v>170</v>
      </c>
      <c r="L54" s="32"/>
      <c r="M54" s="32"/>
    </row>
    <row r="55" spans="1:13" ht="38.1" customHeight="1">
      <c r="A55" s="32" t="s">
        <v>427</v>
      </c>
      <c r="B55" s="32" t="s">
        <v>421</v>
      </c>
      <c r="C55" s="32" t="s">
        <v>422</v>
      </c>
      <c r="D55" s="32" t="s">
        <v>27</v>
      </c>
      <c r="E55" s="32" t="s">
        <v>428</v>
      </c>
      <c r="F55" s="32" t="s">
        <v>429</v>
      </c>
      <c r="G55" s="32" t="s">
        <v>430</v>
      </c>
      <c r="H55" s="32" t="s">
        <v>431</v>
      </c>
      <c r="I55" s="32" t="s">
        <v>326</v>
      </c>
      <c r="J55" s="32" t="s">
        <v>169</v>
      </c>
      <c r="K55" s="32" t="s">
        <v>170</v>
      </c>
      <c r="L55" s="32"/>
      <c r="M55" s="32"/>
    </row>
    <row r="56" spans="1:13" ht="38.1" customHeight="1">
      <c r="A56" s="32" t="s">
        <v>432</v>
      </c>
      <c r="B56" s="32" t="s">
        <v>421</v>
      </c>
      <c r="C56" s="32" t="s">
        <v>422</v>
      </c>
      <c r="D56" s="32" t="s">
        <v>27</v>
      </c>
      <c r="E56" s="32" t="s">
        <v>433</v>
      </c>
      <c r="F56" s="32" t="s">
        <v>434</v>
      </c>
      <c r="G56" s="32" t="s">
        <v>340</v>
      </c>
      <c r="H56" s="32" t="s">
        <v>435</v>
      </c>
      <c r="I56" s="32" t="s">
        <v>326</v>
      </c>
      <c r="J56" s="32" t="s">
        <v>169</v>
      </c>
      <c r="K56" s="32" t="s">
        <v>170</v>
      </c>
      <c r="L56" s="32"/>
      <c r="M56" s="32"/>
    </row>
    <row r="57" spans="1:13" ht="38.1" customHeight="1">
      <c r="A57" s="32" t="s">
        <v>436</v>
      </c>
      <c r="B57" s="32" t="s">
        <v>421</v>
      </c>
      <c r="C57" s="32" t="s">
        <v>437</v>
      </c>
      <c r="D57" s="32" t="s">
        <v>108</v>
      </c>
      <c r="E57" s="32" t="s">
        <v>438</v>
      </c>
      <c r="F57" s="32" t="s">
        <v>439</v>
      </c>
      <c r="G57" s="32" t="s">
        <v>440</v>
      </c>
      <c r="H57" s="32" t="s">
        <v>441</v>
      </c>
      <c r="I57" s="32" t="s">
        <v>170</v>
      </c>
      <c r="J57" s="32" t="s">
        <v>169</v>
      </c>
      <c r="K57" s="32" t="s">
        <v>170</v>
      </c>
      <c r="L57" s="32"/>
      <c r="M57" s="32"/>
    </row>
    <row r="58" spans="1:13" ht="38.1" customHeight="1">
      <c r="A58" s="32" t="s">
        <v>442</v>
      </c>
      <c r="B58" s="32" t="s">
        <v>421</v>
      </c>
      <c r="C58" s="32" t="s">
        <v>437</v>
      </c>
      <c r="D58" s="32" t="s">
        <v>27</v>
      </c>
      <c r="E58" s="32" t="s">
        <v>443</v>
      </c>
      <c r="F58" s="32" t="s">
        <v>444</v>
      </c>
      <c r="G58" s="32" t="s">
        <v>445</v>
      </c>
      <c r="H58" s="32" t="s">
        <v>446</v>
      </c>
      <c r="I58" s="32" t="s">
        <v>170</v>
      </c>
      <c r="J58" s="32" t="s">
        <v>169</v>
      </c>
      <c r="K58" s="32" t="s">
        <v>170</v>
      </c>
      <c r="L58" s="32"/>
      <c r="M58" s="32"/>
    </row>
    <row r="59" spans="1:13" ht="38.1" customHeight="1">
      <c r="A59" s="32" t="s">
        <v>447</v>
      </c>
      <c r="B59" s="32" t="s">
        <v>421</v>
      </c>
      <c r="C59" s="32" t="s">
        <v>448</v>
      </c>
      <c r="D59" s="32" t="s">
        <v>127</v>
      </c>
      <c r="E59" s="32" t="s">
        <v>449</v>
      </c>
      <c r="F59" s="32" t="s">
        <v>450</v>
      </c>
      <c r="G59" s="32" t="s">
        <v>451</v>
      </c>
      <c r="H59" s="32" t="s">
        <v>452</v>
      </c>
      <c r="I59" s="32" t="s">
        <v>170</v>
      </c>
      <c r="J59" s="32" t="s">
        <v>169</v>
      </c>
      <c r="K59" s="32" t="s">
        <v>170</v>
      </c>
      <c r="L59" s="32"/>
      <c r="M59" s="32"/>
    </row>
    <row r="60" spans="1:13" ht="38.1" customHeight="1">
      <c r="A60" s="29"/>
    </row>
    <row r="61" spans="1:13" ht="38.1" customHeight="1">
      <c r="A61" s="29"/>
    </row>
    <row r="62" spans="1:13" ht="38.1" customHeight="1">
      <c r="A62" s="29"/>
    </row>
    <row r="63" spans="1:13" ht="38.1" customHeight="1">
      <c r="A63" s="29"/>
    </row>
    <row r="64" spans="1:13" ht="38.1" customHeight="1">
      <c r="A64" s="29"/>
    </row>
    <row r="65" spans="1:1" ht="38.1" customHeight="1">
      <c r="A65" s="29"/>
    </row>
    <row r="66" spans="1:1" ht="38.1" customHeight="1">
      <c r="A66" s="29"/>
    </row>
    <row r="67" spans="1:1" ht="38.1" customHeight="1">
      <c r="A67" s="29"/>
    </row>
    <row r="68" spans="1:1" ht="38.1" customHeight="1">
      <c r="A68" s="29"/>
    </row>
    <row r="69" spans="1:1" ht="38.1" customHeight="1">
      <c r="A69" s="29"/>
    </row>
    <row r="70" spans="1:1" ht="38.1" customHeight="1">
      <c r="A70" s="29"/>
    </row>
    <row r="71" spans="1:1" ht="38.1" customHeight="1">
      <c r="A71" s="29"/>
    </row>
    <row r="72" spans="1:1" ht="38.1" customHeight="1">
      <c r="A72" s="29"/>
    </row>
    <row r="73" spans="1:1" ht="38.1" customHeight="1">
      <c r="A73" s="29"/>
    </row>
    <row r="74" spans="1:1" ht="38.1" customHeight="1">
      <c r="A74" s="29"/>
    </row>
    <row r="75" spans="1:1" ht="38.1" customHeight="1">
      <c r="A75" s="29"/>
    </row>
    <row r="76" spans="1:1" ht="38.1" customHeight="1">
      <c r="A76" s="29"/>
    </row>
    <row r="77" spans="1:1" ht="38.1" customHeight="1">
      <c r="A77" s="29"/>
    </row>
    <row r="78" spans="1:1" ht="38.1" customHeight="1">
      <c r="A78" s="29"/>
    </row>
    <row r="79" spans="1:1" ht="38.1" customHeight="1">
      <c r="A79" s="29"/>
    </row>
    <row r="80" spans="1:1" ht="38.1" customHeight="1">
      <c r="A80" s="29"/>
    </row>
    <row r="81" spans="1:1" ht="38.1" customHeight="1">
      <c r="A81" s="29"/>
    </row>
    <row r="82" spans="1:1" ht="38.1" customHeight="1">
      <c r="A82" s="29"/>
    </row>
    <row r="83" spans="1:1" ht="38.1" customHeight="1">
      <c r="A83" s="29"/>
    </row>
    <row r="84" spans="1:1" ht="38.1" customHeight="1">
      <c r="A84" s="29"/>
    </row>
    <row r="85" spans="1:1" ht="38.1" customHeight="1">
      <c r="A85" s="29"/>
    </row>
    <row r="86" spans="1:1" ht="38.1" customHeight="1">
      <c r="A86" s="29"/>
    </row>
    <row r="87" spans="1:1" ht="38.1" customHeight="1">
      <c r="A87" s="29"/>
    </row>
    <row r="88" spans="1:1" ht="38.1" customHeight="1">
      <c r="A88" s="29"/>
    </row>
    <row r="89" spans="1:1" ht="38.1" customHeight="1">
      <c r="A89" s="29"/>
    </row>
    <row r="90" spans="1:1" ht="38.1" customHeight="1">
      <c r="A90" s="29"/>
    </row>
    <row r="91" spans="1:1" ht="38.1" customHeight="1">
      <c r="A91" s="29"/>
    </row>
    <row r="92" spans="1:1" ht="38.1" customHeight="1">
      <c r="A92" s="29"/>
    </row>
    <row r="93" spans="1:1" ht="38.1" customHeight="1">
      <c r="A93" s="29"/>
    </row>
    <row r="94" spans="1:1" ht="38.1" customHeight="1">
      <c r="A94" s="29"/>
    </row>
    <row r="95" spans="1:1" ht="38.1" customHeight="1">
      <c r="A95" s="29"/>
    </row>
    <row r="96" spans="1:1" ht="38.1" customHeight="1">
      <c r="A96" s="29"/>
    </row>
    <row r="97" spans="1:1" ht="38.1" customHeight="1">
      <c r="A97" s="29"/>
    </row>
    <row r="98" spans="1:1" ht="38.1" customHeight="1">
      <c r="A98" s="29"/>
    </row>
    <row r="99" spans="1:1" ht="38.1" customHeight="1">
      <c r="A99" s="29"/>
    </row>
    <row r="100" spans="1:1" ht="38.1" customHeight="1">
      <c r="A100" s="29"/>
    </row>
    <row r="101" spans="1:1" ht="38.1" customHeight="1">
      <c r="A101" s="29"/>
    </row>
    <row r="102" spans="1:1" ht="38.1" customHeight="1">
      <c r="A102" s="29"/>
    </row>
    <row r="103" spans="1:1" ht="38.1" customHeight="1">
      <c r="A103" s="29"/>
    </row>
    <row r="104" spans="1:1" ht="38.1" customHeight="1">
      <c r="A104" s="29"/>
    </row>
    <row r="105" spans="1:1" ht="38.1" customHeight="1">
      <c r="A105" s="29"/>
    </row>
    <row r="106" spans="1:1" ht="38.1" customHeight="1">
      <c r="A106" s="29"/>
    </row>
    <row r="107" spans="1:1" ht="38.1" customHeight="1">
      <c r="A107" s="29"/>
    </row>
    <row r="108" spans="1:1" ht="38.1" customHeight="1">
      <c r="A108" s="29"/>
    </row>
    <row r="109" spans="1:1" ht="38.1" customHeight="1">
      <c r="A109" s="29"/>
    </row>
    <row r="110" spans="1:1" ht="38.1" customHeight="1">
      <c r="A110" s="29"/>
    </row>
    <row r="111" spans="1:1" ht="38.1" customHeight="1">
      <c r="A111" s="29"/>
    </row>
    <row r="112" spans="1:1" ht="38.1" customHeight="1">
      <c r="A112" s="29"/>
    </row>
    <row r="113" spans="1:1" ht="38.1" customHeight="1">
      <c r="A113" s="29"/>
    </row>
    <row r="114" spans="1:1" ht="38.1" customHeight="1">
      <c r="A114" s="29"/>
    </row>
    <row r="115" spans="1:1" ht="38.1" customHeight="1">
      <c r="A115" s="29"/>
    </row>
    <row r="116" spans="1:1" ht="38.1" customHeight="1">
      <c r="A116" s="29"/>
    </row>
    <row r="117" spans="1:1" ht="38.1" customHeight="1">
      <c r="A117" s="29"/>
    </row>
    <row r="118" spans="1:1" ht="38.1" customHeight="1">
      <c r="A118" s="29"/>
    </row>
    <row r="119" spans="1:1" ht="38.1" customHeight="1">
      <c r="A119" s="29"/>
    </row>
    <row r="120" spans="1:1" ht="38.1" customHeight="1">
      <c r="A120" s="29"/>
    </row>
    <row r="121" spans="1:1" ht="38.1" customHeight="1">
      <c r="A121" s="29"/>
    </row>
    <row r="122" spans="1:1" ht="38.1" customHeight="1">
      <c r="A122" s="29"/>
    </row>
    <row r="123" spans="1:1" ht="38.1" customHeight="1">
      <c r="A123" s="29"/>
    </row>
    <row r="124" spans="1:1" ht="38.1" customHeight="1">
      <c r="A124" s="29"/>
    </row>
    <row r="125" spans="1:1" ht="38.1" customHeight="1">
      <c r="A125" s="29"/>
    </row>
    <row r="126" spans="1:1" ht="38.1" customHeight="1">
      <c r="A126" s="29"/>
    </row>
    <row r="127" spans="1:1" ht="38.1" customHeight="1">
      <c r="A127" s="29"/>
    </row>
    <row r="128" spans="1:1" ht="38.1" customHeight="1">
      <c r="A128" s="29"/>
    </row>
    <row r="129" spans="1:1" ht="38.1" customHeight="1">
      <c r="A129" s="29"/>
    </row>
    <row r="130" spans="1:1" ht="38.1" customHeight="1">
      <c r="A130" s="29"/>
    </row>
    <row r="131" spans="1:1" ht="38.1" customHeight="1">
      <c r="A131" s="29"/>
    </row>
    <row r="132" spans="1:1" ht="38.1" customHeight="1">
      <c r="A132" s="29"/>
    </row>
    <row r="133" spans="1:1" ht="38.1" customHeight="1">
      <c r="A133" s="29"/>
    </row>
    <row r="134" spans="1:1" ht="38.1" customHeight="1">
      <c r="A134" s="29"/>
    </row>
    <row r="135" spans="1:1" ht="38.1" customHeight="1">
      <c r="A135" s="29"/>
    </row>
    <row r="136" spans="1:1" ht="38.1" customHeight="1">
      <c r="A136" s="29"/>
    </row>
    <row r="137" spans="1:1" ht="38.1" customHeight="1">
      <c r="A137" s="29"/>
    </row>
    <row r="138" spans="1:1" ht="38.1" customHeight="1">
      <c r="A138" s="29"/>
    </row>
    <row r="139" spans="1:1" ht="38.1" customHeight="1">
      <c r="A139" s="29"/>
    </row>
    <row r="140" spans="1:1" ht="38.1" customHeight="1">
      <c r="A140" s="29"/>
    </row>
    <row r="141" spans="1:1" ht="38.1" customHeight="1">
      <c r="A141" s="29"/>
    </row>
    <row r="142" spans="1:1" ht="38.1" customHeight="1">
      <c r="A142" s="29"/>
    </row>
    <row r="143" spans="1:1" ht="38.1" customHeight="1">
      <c r="A143" s="29"/>
    </row>
    <row r="144" spans="1:1" ht="38.1" customHeight="1">
      <c r="A144" s="29"/>
    </row>
    <row r="145" spans="1:1" ht="38.1" customHeight="1">
      <c r="A145" s="29"/>
    </row>
    <row r="146" spans="1:1" ht="38.1" customHeight="1">
      <c r="A146" s="29"/>
    </row>
    <row r="147" spans="1:1" ht="38.1" customHeight="1">
      <c r="A147" s="29"/>
    </row>
    <row r="148" spans="1:1" ht="38.1" customHeight="1">
      <c r="A148" s="29"/>
    </row>
    <row r="149" spans="1:1" ht="38.1" customHeight="1">
      <c r="A149" s="29"/>
    </row>
    <row r="150" spans="1:1" ht="38.1" customHeight="1">
      <c r="A150" s="29"/>
    </row>
    <row r="151" spans="1:1" ht="38.1" customHeight="1">
      <c r="A151" s="29"/>
    </row>
    <row r="152" spans="1:1" ht="38.1" customHeight="1">
      <c r="A152" s="29"/>
    </row>
    <row r="153" spans="1:1" ht="38.1" customHeight="1">
      <c r="A153" s="29"/>
    </row>
    <row r="154" spans="1:1" ht="38.1" customHeight="1">
      <c r="A154" s="29"/>
    </row>
    <row r="155" spans="1:1" ht="38.1" customHeight="1">
      <c r="A155" s="29"/>
    </row>
    <row r="156" spans="1:1" ht="38.1" customHeight="1">
      <c r="A156" s="29"/>
    </row>
    <row r="157" spans="1:1" ht="38.1" customHeight="1">
      <c r="A157" s="29"/>
    </row>
    <row r="158" spans="1:1" ht="38.1" customHeight="1">
      <c r="A158" s="29"/>
    </row>
    <row r="159" spans="1:1" ht="38.1" customHeight="1">
      <c r="A159" s="29"/>
    </row>
    <row r="160" spans="1:1" ht="38.1" customHeight="1">
      <c r="A160" s="29"/>
    </row>
    <row r="161" spans="1:1" ht="38.1" customHeight="1">
      <c r="A161" s="29"/>
    </row>
    <row r="162" spans="1:1" ht="38.1" customHeight="1">
      <c r="A162" s="29"/>
    </row>
    <row r="163" spans="1:1" ht="38.1" customHeight="1">
      <c r="A163" s="29"/>
    </row>
    <row r="164" spans="1:1" ht="38.1" customHeight="1">
      <c r="A164" s="29"/>
    </row>
    <row r="165" spans="1:1" ht="38.1" customHeight="1">
      <c r="A165" s="29"/>
    </row>
    <row r="166" spans="1:1" ht="38.1" customHeight="1">
      <c r="A166" s="29"/>
    </row>
    <row r="167" spans="1:1" ht="38.1" customHeight="1">
      <c r="A167" s="29"/>
    </row>
    <row r="168" spans="1:1" ht="38.1" customHeight="1">
      <c r="A168" s="29"/>
    </row>
    <row r="169" spans="1:1" ht="38.1" customHeight="1">
      <c r="A169" s="29"/>
    </row>
    <row r="170" spans="1:1" ht="38.1" customHeight="1">
      <c r="A170" s="29"/>
    </row>
    <row r="171" spans="1:1" ht="38.1" customHeight="1">
      <c r="A171" s="29"/>
    </row>
    <row r="172" spans="1:1" ht="38.1" customHeight="1">
      <c r="A172" s="29"/>
    </row>
    <row r="173" spans="1:1" ht="38.1" customHeight="1">
      <c r="A173" s="29"/>
    </row>
    <row r="174" spans="1:1" ht="38.1" customHeight="1">
      <c r="A174" s="29"/>
    </row>
    <row r="175" spans="1:1" ht="38.1" customHeight="1">
      <c r="A175" s="29"/>
    </row>
    <row r="176" spans="1:1" ht="38.1" customHeight="1">
      <c r="A176" s="29"/>
    </row>
    <row r="177" spans="1:1" ht="38.1" customHeight="1">
      <c r="A177" s="29"/>
    </row>
    <row r="178" spans="1:1" ht="38.1" customHeight="1">
      <c r="A178" s="29"/>
    </row>
    <row r="179" spans="1:1" ht="38.1" customHeight="1">
      <c r="A179" s="29"/>
    </row>
    <row r="180" spans="1:1" ht="38.1" customHeight="1">
      <c r="A180" s="29"/>
    </row>
    <row r="181" spans="1:1" ht="38.1" customHeight="1">
      <c r="A181" s="29"/>
    </row>
    <row r="182" spans="1:1" ht="38.1" customHeight="1">
      <c r="A182" s="29"/>
    </row>
    <row r="183" spans="1:1" ht="38.1" customHeight="1">
      <c r="A183" s="29"/>
    </row>
    <row r="184" spans="1:1" ht="38.1" customHeight="1">
      <c r="A184" s="29"/>
    </row>
    <row r="185" spans="1:1" ht="38.1" customHeight="1">
      <c r="A185" s="29"/>
    </row>
    <row r="186" spans="1:1" ht="38.1" customHeight="1">
      <c r="A186" s="29"/>
    </row>
    <row r="187" spans="1:1" ht="38.1" customHeight="1">
      <c r="A187" s="29"/>
    </row>
    <row r="188" spans="1:1" ht="38.1" customHeight="1">
      <c r="A188" s="29"/>
    </row>
    <row r="189" spans="1:1" ht="38.1" customHeight="1">
      <c r="A189" s="29"/>
    </row>
    <row r="190" spans="1:1" ht="38.1" customHeight="1">
      <c r="A190" s="29"/>
    </row>
    <row r="191" spans="1:1" ht="38.1" customHeight="1">
      <c r="A191" s="29"/>
    </row>
    <row r="192" spans="1:1" ht="38.1" customHeight="1">
      <c r="A192" s="29"/>
    </row>
    <row r="193" spans="1:1" ht="38.1" customHeight="1">
      <c r="A193" s="29"/>
    </row>
    <row r="194" spans="1:1" ht="38.1" customHeight="1">
      <c r="A194" s="29"/>
    </row>
    <row r="195" spans="1:1" ht="38.1" customHeight="1">
      <c r="A195" s="29"/>
    </row>
    <row r="196" spans="1:1" ht="38.1" customHeight="1">
      <c r="A196" s="29"/>
    </row>
    <row r="197" spans="1:1" ht="38.1" customHeight="1">
      <c r="A197" s="29"/>
    </row>
    <row r="198" spans="1:1" ht="38.1" customHeight="1">
      <c r="A198" s="29"/>
    </row>
    <row r="199" spans="1:1" ht="38.1" customHeight="1">
      <c r="A199" s="29"/>
    </row>
  </sheetData>
  <mergeCells count="1">
    <mergeCell ref="A1:M1"/>
  </mergeCells>
  <conditionalFormatting sqref="D3:D59">
    <cfRule type="expression" dxfId="4" priority="1">
      <formula>D3="P0"</formula>
    </cfRule>
    <cfRule type="expression" dxfId="3" priority="2">
      <formula>D3="P1"</formula>
    </cfRule>
  </conditionalFormatting>
  <conditionalFormatting sqref="J3:J59">
    <cfRule type="expression" dxfId="2" priority="3">
      <formula>J3="Passed"</formula>
    </cfRule>
    <cfRule type="expression" dxfId="1" priority="4">
      <formula>J3="Failed"</formula>
    </cfRule>
    <cfRule type="expression" dxfId="0" priority="5">
      <formula>J3="Blocked"</formula>
    </cfRule>
  </conditionalFormatting>
  <dataValidations count="5">
    <dataValidation type="list" sqref="K3:K59" xr:uid="{28619BE7-C2DE-4EB2-B158-6E9FFDE20215}">
      <formula1>"No,Yes"</formula1>
    </dataValidation>
    <dataValidation type="list" sqref="J3:J59" xr:uid="{0CB1C8C6-3959-4634-825B-095E695CC123}">
      <formula1>"Not Run,Passed,Failed,Blocked"</formula1>
    </dataValidation>
    <dataValidation type="list" sqref="I3:I59" xr:uid="{1E40F7FA-B8FD-4266-8E9C-F7978132BF2C}">
      <formula1>"Yes,Partial,No"</formula1>
    </dataValidation>
    <dataValidation type="list" sqref="D3:D59" xr:uid="{97357970-3BDF-444B-9381-28101B0C7842}">
      <formula1>"P0,P1,P2"</formula1>
    </dataValidation>
    <dataValidation type="list" sqref="C3:C59" xr:uid="{CF6DA1D0-E953-433F-9DA6-3CFA89706DE6}">
      <formula1>"Unit,Integration,Contract,End-to-End,Concurrency,Load,Stress,Security,Resilience"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Kế hoạch 4 tuần</vt:lpstr>
      <vt:lpstr>Test scenarios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Nam</dc:creator>
  <cp:keywords/>
  <dc:description/>
  <cp:lastModifiedBy>Hoàng Nam Trần</cp:lastModifiedBy>
  <cp:revision/>
  <dcterms:created xsi:type="dcterms:W3CDTF">2026-07-21T08:54:09Z</dcterms:created>
  <dcterms:modified xsi:type="dcterms:W3CDTF">2026-07-22T02:19:43Z</dcterms:modified>
  <cp:category/>
  <cp:contentStatus/>
</cp:coreProperties>
</file>