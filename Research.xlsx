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SF\Project INFO\"/>
    </mc:Choice>
  </mc:AlternateContent>
  <xr:revisionPtr revIDLastSave="0" documentId="13_ncr:1_{19980CA4-C9AB-4EFA-A124-01722159265F}" xr6:coauthVersionLast="47" xr6:coauthVersionMax="47" xr10:uidLastSave="{00000000-0000-0000-0000-000000000000}"/>
  <bookViews>
    <workbookView xWindow="1815" yWindow="1905" windowWidth="21600" windowHeight="11295" firstSheet="1" activeTab="4" xr2:uid="{00000000-000D-0000-FFFF-FFFF00000000}"/>
  </bookViews>
  <sheets>
    <sheet name="Tổng quan nội bộ" sheetId="1" r:id="rId1"/>
    <sheet name="Kiểm duyệt listing" sheetId="2" r:id="rId2"/>
    <sheet name="Tích hợp V-App" sheetId="3" r:id="rId3"/>
    <sheet name="Research phí nền tảng" sheetId="4" r:id="rId4"/>
    <sheet name="Quyết định phạm v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  <c r="B4" i="1"/>
</calcChain>
</file>

<file path=xl/sharedStrings.xml><?xml version="1.0" encoding="utf-8"?>
<sst xmlns="http://schemas.openxmlformats.org/spreadsheetml/2006/main" count="397" uniqueCount="307">
  <si>
    <t>V-MARKET — TỔNG HỢP RESEARCH NỘI BỘ</t>
  </si>
  <si>
    <t>Chỉ số</t>
  </si>
  <si>
    <t>Giá trị</t>
  </si>
  <si>
    <t>Tổng tính năng đã cân nhắc</t>
  </si>
  <si>
    <t>MVP</t>
  </si>
  <si>
    <t>Đưa vào MVP</t>
  </si>
  <si>
    <t>Optional</t>
  </si>
  <si>
    <t>Để tùy chọn</t>
  </si>
  <si>
    <t>Future / loại khỏi MVP</t>
  </si>
  <si>
    <t>Nhóm research</t>
  </si>
  <si>
    <t>Câu hỏi đã tò mò</t>
  </si>
  <si>
    <t>Kết luận ngắn</t>
  </si>
  <si>
    <t>Mức chắc chắn</t>
  </si>
  <si>
    <t>Ảnh hưởng tới V-Market</t>
  </si>
  <si>
    <t>Quyết định hiện tại</t>
  </si>
  <si>
    <t>Cần xác minh thêm</t>
  </si>
  <si>
    <t>Nguồn chính</t>
  </si>
  <si>
    <t>Kiểm duyệt sản phẩm</t>
  </si>
  <si>
    <t>Sàn lớn có duyệt thủ công từng listing không?</t>
  </si>
  <si>
    <t>Không thể duyệt tay toàn bộ. Mô hình hợp lý là kiểm tra tự động trước/sau đăng, sau đó con người xử lý ngoại lệ, khiếu nại và rủi ro cao.</t>
  </si>
  <si>
    <t>Cao</t>
  </si>
  <si>
    <t>Không cần Admin Portal hoàn chỉnh; vẫn cần trạng thái sản phẩm, quy tắc kiểm tra và API nội bộ tối giản.</t>
  </si>
  <si>
    <t>Đưa vào MVP ở mức rule-based validation; không làm quy trình review thủ công.</t>
  </si>
  <si>
    <t>Tiêu chí chính xác khiến listing chuyển sang hàng chờ review không được công khai.</t>
  </si>
  <si>
    <t>https://help.shopee.vn/4/article/77246-QUY-%C4%90%E1%BB%8ANH-V%E1%BB%80-%C4%90%C4%82NG-B%C3%81N-S%E1%BA%A2N-PH%E1%BA%A8M-TR%C3%8AN-SHOPEE</t>
  </si>
  <si>
    <t>Vai trò quản trị</t>
  </si>
  <si>
    <t>Có cần giao diện quản trị viên riêng không?</t>
  </si>
  <si>
    <t>Nền tảng thực vẫn cần quyền kiểm soát, nhưng prototype 4 tuần không nhất thiết phải xây UI quản trị.</t>
  </si>
  <si>
    <t>Giảm số màn hình, tập trung vào buyer/seller flow; thao tác nội bộ dùng API hoặc dữ liệu seed.</t>
  </si>
  <si>
    <t>Không làm Admin Portal; giữ SYSTEM_ADMIN kỹ thuật ở backend.</t>
  </si>
  <si>
    <t>Mentor có yêu cầu demo moderation thủ công hay không.</t>
  </si>
  <si>
    <t>https://help.shopee.vn/4/article/77245-QUY-CH%E1%BA%BE-HO%E1%BA%A0T-%C4%90%E1%BB%98NG-SA%CC%80N-TH%C6%AF%C6%A0NG-MA%CC%A3I-%C4%90I%C3%8A%CC%A3N-T%C6%AF%CC%89-SHOPEE.VN</t>
  </si>
  <si>
    <t>Thanh toán V-App</t>
  </si>
  <si>
    <t>V-Market nên tự làm thanh toán hay dùng nền của V-App?</t>
  </si>
  <si>
    <t>V-App đã có thanh toán tích hợp và quy chế thu hộ/đối soát đối tác. MiniApp nên tạo đơn và chuyển sang luồng thanh toán nền tảng.</t>
  </si>
  <si>
    <t>Payment là tích hợp cốt lõi; cần có adapter và phương án mock nếu không được cấp môi trường thật.</t>
  </si>
  <si>
    <t>Giữ trong MVP; ưu tiên tích hợp thật, có mock fallback.</t>
  </si>
  <si>
    <t>Quyền truy cập sandbox, SDK, callback và tài liệu kỹ thuật cụ thể.</t>
  </si>
  <si>
    <t>https://v-app.vn/file/quy-che-hoat-dong-v-app.pdf</t>
  </si>
  <si>
    <t>VPoint và ưu đãi</t>
  </si>
  <si>
    <t>Có nên tự xây loyalty/voucher không?</t>
  </si>
  <si>
    <t>V-App đã có VPoint; các ưu đãi nền tảng nên được xem là dịch vụ tích hợp thay vì xây lại toàn bộ.</t>
  </si>
  <si>
    <t>Voucher shop đơn giản có thể tự làm; VPoint để tích hợp hoặc tương lai.</t>
  </si>
  <si>
    <t>Voucher cơ bản tùy chọn; VPoint không tự xây trong 4 tuần.</t>
  </si>
  <si>
    <t>API VPoint/Voucher có được cấp cho MiniApp hay không.</t>
  </si>
  <si>
    <t>https://v-app.vn/mini/vpoint.v-app.vn</t>
  </si>
  <si>
    <t>Chat buyer–seller</t>
  </si>
  <si>
    <t>Chat có cần trong MVP không?</t>
  </si>
  <si>
    <t>Chat có giá trị trải nghiệm nhưng không phải lõi giao dịch. V-App công khai có chat 1-1/chat nhóm ở cấp nền tảng.</t>
  </si>
  <si>
    <t>Trung bình–cao</t>
  </si>
  <si>
    <t>Có thể tận dụng chat chung hoặc làm chat text tối giản; không nên để chat làm trễ checkout/order.</t>
  </si>
  <si>
    <t>Để Optional; chỉ làm text chat nếu luồng mua bán đã ổn.</t>
  </si>
  <si>
    <t>MiniApp có được dùng dịch vụ chat nền tảng hay cần tự xây.</t>
  </si>
  <si>
    <t>https://v-app.vn/mini/myvincom.v-app</t>
  </si>
  <si>
    <t>Gợi ý sản phẩm</t>
  </si>
  <si>
    <t>Có cần recommendation trong dự án?</t>
  </si>
  <si>
    <t>Gợi ý sản phẩm giúp demo tốt hơn nhưng không cần mô hình AI. Có thể dùng lịch sử xem, cùng danh mục, bán chạy.</t>
  </si>
  <si>
    <t>Trung bình</t>
  </si>
  <si>
    <t>Dễ tạo trải nghiệm cá nhân hóa với chi phí thấp nếu dùng rule-based.</t>
  </si>
  <si>
    <t>Để Optional; rule-based only, không AI/ML.</t>
  </si>
  <si>
    <t>Khối lượng dữ liệu hành vi có đủ để demo hợp lý không.</t>
  </si>
  <si>
    <t>https://v-app.vn/en/mini/myvincom.v-app</t>
  </si>
  <si>
    <t>Phí nền tảng</t>
  </si>
  <si>
    <t>Marketplace lớn cấu hình phí như thế nào?</t>
  </si>
  <si>
    <t>Phí thường có nhiều lớp: hoa hồng theo ngành hàng, phí giao dịch, phí đơn, gói dịch vụ; chính sách có hiệu lực theo thời gian.</t>
  </si>
  <si>
    <t>Muốn làm đúng sẽ kéo theo commission, refund, settlement, versioning và đối soát.</t>
  </si>
  <si>
    <t>Loại khỏi MVP 4 tuần; chỉ lưu vào future scope.</t>
  </si>
  <si>
    <t>Nếu mentor muốn bài toán tài chính thì mới đưa lại.</t>
  </si>
  <si>
    <t>https://seller-vn.tiktok.com/university/essay?knowledge_id=753295858337537</t>
  </si>
  <si>
    <t>Phạm vi marketplace</t>
  </si>
  <si>
    <t>Có cần làm giống toàn bộ Shopee không?</t>
  </si>
  <si>
    <t>Không. Giá trị demo nằm ở nhiều shop, SKU, giỏ đa shop, tách đơn, tồn kho và xử lý trạng thái.</t>
  </si>
  <si>
    <t>Bỏ logistics thật, livestream, affiliate, ads, settlement và dispute phức tạp.</t>
  </si>
  <si>
    <t>MVP tập trung vào giao dịch cốt lõi.</t>
  </si>
  <si>
    <t>Mentor có ưu tiên frontend hay backend để điều chỉnh mức chi tiết.</t>
  </si>
  <si>
    <t>https://sell.amazon.com/pricing</t>
  </si>
  <si>
    <t>RESEARCH — KIỂM DUYỆT SẢN PHẨM &amp; QUYỀN NỀN TẢNG</t>
  </si>
  <si>
    <t>Khâu</t>
  </si>
  <si>
    <t>Có thể tự động</t>
  </si>
  <si>
    <t>Khi nào cần con người</t>
  </si>
  <si>
    <t>Thiết kế cho V-Market</t>
  </si>
  <si>
    <t>Có trong 4 tuần?</t>
  </si>
  <si>
    <t>Ghi chú nội bộ</t>
  </si>
  <si>
    <t>Nguồn</t>
  </si>
  <si>
    <t>Tạo shop</t>
  </si>
  <si>
    <t>Kiểm tra trường bắt buộc, tên trùng, định dạng liên hệ, trạng thái tài khoản.</t>
  </si>
  <si>
    <t>Xác minh pháp lý/KYC thật, khiếu nại khóa nhầm, dấu hiệu gian lận.</t>
  </si>
  <si>
    <t>Auto-activate khi dữ liệu mẫu hợp lệ; có cờ ACTIVE/LOCKED.</t>
  </si>
  <si>
    <t>Có</t>
  </si>
  <si>
    <t>Không làm onboarding pháp lý thật.</t>
  </si>
  <si>
    <t>Đăng listing</t>
  </si>
  <si>
    <t>Tên/mô tả/giá/ảnh/danh mục/SKU/tồn kho hợp lệ; từ khóa cấm rõ ràng.</t>
  </si>
  <si>
    <t>Nội dung mơ hồ, hàng giả, giấy phép, thương hiệu, ngữ cảnh hình ảnh.</t>
  </si>
  <si>
    <t>DRAFT → ACTIVE hoặc FLAGGED/HIDDEN.</t>
  </si>
  <si>
    <t>Không cần nút 'admin approve' cho mọi sản phẩm.</t>
  </si>
  <si>
    <t>Sau khi đăng</t>
  </si>
  <si>
    <t>Quét định kỳ, phát hiện spam, giá bất thường, báo cáo người dùng.</t>
  </si>
  <si>
    <t>Điều tra vi phạm, xử lý khiếu nại và quyết định cuối.</t>
  </si>
  <si>
    <t>Background job đơn giản có thể gắn FLAGGED.</t>
  </si>
  <si>
    <t>Tùy chọn</t>
  </si>
  <si>
    <t>Không cần xây hệ thống chống gian lận thật.</t>
  </si>
  <si>
    <t>https://help.shopee.vn/portal/4/article/77247</t>
  </si>
  <si>
    <t>Ẩn/khóa</t>
  </si>
  <si>
    <t>Tự động ẩn khi vi phạm rule rõ ràng hoặc shop bị khóa.</t>
  </si>
  <si>
    <t>Mở lại sản phẩm, xử lý trường hợp false positive.</t>
  </si>
  <si>
    <t>Internal API/Swagger; không xây Admin Portal.</t>
  </si>
  <si>
    <t>Có, mức tối giản</t>
  </si>
  <si>
    <t>Giữ audit log để biết ai/hệ thống đã thay đổi.</t>
  </si>
  <si>
    <t>Khiếu nại/tranh chấp</t>
  </si>
  <si>
    <t>Tiếp nhận form, lưu bằng chứng, cập nhật trạng thái.</t>
  </si>
  <si>
    <t>Đánh giá bằng chứng và ra quyết định.</t>
  </si>
  <si>
    <t>Không làm trong MVP.</t>
  </si>
  <si>
    <t>Không</t>
  </si>
  <si>
    <t>Future scope.</t>
  </si>
  <si>
    <t>https://help.shopee.vn/4/article/188931-%5BTr%E1%BA%A3-h%C3%A0ng%2FHo%C3%A0n-ti%E1%BB%81n%5D-Nh%E1%BB%AFng-quy-%C4%91%E1%BB%8Bnh-chung-v%E1%BB%81-Tr%E1%BA%A3-h%C3%A0ng%2FHo%C3%A0n-ti%E1%BB%81n-c%E1%BB%A7a-Shopee</t>
  </si>
  <si>
    <t>RESEARCH — CÁC DỊCH VỤ NỀN TẢNG V-APP LIÊN QUAN V-MARKET</t>
  </si>
  <si>
    <t>Dịch vụ/khả năng</t>
  </si>
  <si>
    <t>Điều đã xác minh</t>
  </si>
  <si>
    <t>Vai trò trong V-Market</t>
  </si>
  <si>
    <t>Tự xây hay tích hợp</t>
  </si>
  <si>
    <t>Mức ưu tiên</t>
  </si>
  <si>
    <t>Fallback khi không có API</t>
  </si>
  <si>
    <t>Điểm cần hỏi</t>
  </si>
  <si>
    <t>Thanh toán tích hợp</t>
  </si>
  <si>
    <t>V-App công khai hỗ trợ thanh toán tích hợp; quy chế mô tả VSF thu hộ và thanh toán lại cho đối tác sau khi trừ phí.</t>
  </si>
  <si>
    <t>Thanh toán đơn hàng của buyer và nhận kết quả để cập nhật order.</t>
  </si>
  <si>
    <t>Tích hợp</t>
  </si>
  <si>
    <t>Bắt buộc</t>
  </si>
  <si>
    <t>Payment mock có cùng luồng thành công/thất bại/callback.</t>
  </si>
  <si>
    <t>SDK nào dùng cho MiniApp? Sandbox? Callback/IPN? Có hỗ trợ hoàn tiền?</t>
  </si>
  <si>
    <t>VPoint</t>
  </si>
  <si>
    <t>V-App có mini app VPoint để tích lũy, theo dõi và sử dụng điểm.</t>
  </si>
  <si>
    <t>Dùng điểm khi checkout hoặc tặng điểm sau giao dịch.</t>
  </si>
  <si>
    <t>Tích hợp, không tự xây</t>
  </si>
  <si>
    <t>Không dùng VPoint trong demo hoặc giả lập một mức giảm.</t>
  </si>
  <si>
    <t>MiniApp bên thứ ba có quyền gọi VPoint không?</t>
  </si>
  <si>
    <t>Ưu đãi/Voucher</t>
  </si>
  <si>
    <t>V-App quảng bá ưu đãi và hệ sinh thái shopping; tài liệu kỹ thuật cụ thể chưa xác minh công khai.</t>
  </si>
  <si>
    <t>Voucher toàn nền tảng hoặc voucher shop.</t>
  </si>
  <si>
    <t>Kết hợp: voucher shop tự làm, voucher nền tảng tích hợp</t>
  </si>
  <si>
    <t>Chỉ làm voucher shop đơn giản.</t>
  </si>
  <si>
    <t>Có Promotion/Voucher Service chính thức cho MiniApp không?</t>
  </si>
  <si>
    <t>Chat</t>
  </si>
  <si>
    <t>V-App công khai có chat 1-1 và chat nhóm ở cấp ứng dụng.</t>
  </si>
  <si>
    <t>Buyer hỏi seller về sản phẩm/đơn hàng.</t>
  </si>
  <si>
    <t>Ưu tiên tích hợp; tự xây text chat chỉ khi cần</t>
  </si>
  <si>
    <t>Chat text đơn giản hoặc bỏ khỏi demo.</t>
  </si>
  <si>
    <t>MiniApp có API dùng chat chung không?</t>
  </si>
  <si>
    <t>Cá nhân hóa/gợi ý</t>
  </si>
  <si>
    <t>V-App mô tả khả năng gợi ý nội dung, dịch vụ và tiện ích theo sở thích.</t>
  </si>
  <si>
    <t>Sắp xếp sản phẩm phù hợp cho buyer.</t>
  </si>
  <si>
    <t>V-Market có thể tự làm rule-based trong phạm vi dữ liệu của mình</t>
  </si>
  <si>
    <t>Cùng danh mục + bán chạy + lịch sử xem.</t>
  </si>
  <si>
    <t>Dữ liệu cá nhân hóa từ V-App có được chia sẻ cho MiniApp không?</t>
  </si>
  <si>
    <t>Đăng nhập/tài khoản</t>
  </si>
  <si>
    <t>V-App là nền tảng All-in-One với trải nghiệm dịch vụ chung; chưa có tài liệu auth công khai trong nguồn đã kiểm tra.</t>
  </si>
  <si>
    <t>Nhận danh tính người dùng, tránh đăng ký tài khoản riêng.</t>
  </si>
  <si>
    <t>Tài khoản demo nội bộ.</t>
  </si>
  <si>
    <t>SSO/token/user profile schema?</t>
  </si>
  <si>
    <t>RESEARCH — CÁCH MARKETPLACE LỚN THU PHÍ (ĐÃ LOẠI KHỎI MVP)</t>
  </si>
  <si>
    <t>Nền tảng/nguồn</t>
  </si>
  <si>
    <t>Loại phí</t>
  </si>
  <si>
    <t>Cách cấu hình</t>
  </si>
  <si>
    <t>Cơ sở tính</t>
  </si>
  <si>
    <t>Thời điểm ghi nhận</t>
  </si>
  <si>
    <t>Bài toán kéo theo</t>
  </si>
  <si>
    <t>Áp dụng cho V-Market</t>
  </si>
  <si>
    <t>Shopee (quy chế/điều khoản)</t>
  </si>
  <si>
    <t>Phí dịch vụ/hoa hồng và các khoản dịch vụ liên quan</t>
  </si>
  <si>
    <t>Có thể thay đổi theo chương trình, ngành hàng hoặc thỏa thuận.</t>
  </si>
  <si>
    <t>Doanh thu/giao dịch đủ điều kiện theo chính sách.</t>
  </si>
  <si>
    <t>Thường gắn với đơn thành công và khấu trừ trước khi trả seller.</t>
  </si>
  <si>
    <t>Thuế, hoàn tiền, đối soát, tranh chấp.</t>
  </si>
  <si>
    <t>Không làm trong MVP; chỉ ghi future scope.</t>
  </si>
  <si>
    <t>https://help.shopee.vn/4/article/77243-%C4%90I%E1%BB%80U-KHO%E1%BA%A2N-D%E1%BB%8ACH-V%E1%BB%A4</t>
  </si>
  <si>
    <t>TikTok Shop Việt Nam</t>
  </si>
  <si>
    <t>Phí giao dịch và các phí dịch vụ khác</t>
  </si>
  <si>
    <t>Tỷ lệ công bố theo thời điểm; có công thức tính trên giá trị giao dịch.</t>
  </si>
  <si>
    <t>Giá hàng sau chiết khấu seller, cộng một số khoản theo chính sách.</t>
  </si>
  <si>
    <t>Đơn giao thành công/đủ điều kiện.</t>
  </si>
  <si>
    <t>Chính sách phiên bản theo ngày, thuế, refund.</t>
  </si>
  <si>
    <t>Chỉ dùng làm tham khảo thiết kế tương lai.</t>
  </si>
  <si>
    <t>Amazon</t>
  </si>
  <si>
    <t>Phí gói bán hàng + referral fee theo ngành hàng</t>
  </si>
  <si>
    <t>Gói cá nhân/chuyên nghiệp; referral fee khác nhau theo category.</t>
  </si>
  <si>
    <t>Giá bán hoặc tổng giá trị theo bảng phí.</t>
  </si>
  <si>
    <t>Khi sản phẩm bán được.</t>
  </si>
  <si>
    <t>Nhiều bảng phí, gói dịch vụ, fulfillment.</t>
  </si>
  <si>
    <t>Không phù hợp MVP 4 tuần.</t>
  </si>
  <si>
    <t>V-App/VSF</t>
  </si>
  <si>
    <t>Phí dịch vụ theo % doanh thu theo thỏa thuận</t>
  </si>
  <si>
    <t>Điều chỉnh theo từng giai đoạn và thỏa thuận bằng văn bản.</t>
  </si>
  <si>
    <t>Doanh thu bán sản phẩm/hàng hóa/dịch vụ trên V-App.</t>
  </si>
  <si>
    <t>Đối soát hàng tháng; thanh toán đối tác sau khi trừ phí.</t>
  </si>
  <si>
    <t>Bảng tổng hợp phí, xác nhận đối tác, hóa đơn và thanh toán.</t>
  </si>
  <si>
    <t>Research quan trọng nhưng không triển khai trong MVP.</t>
  </si>
  <si>
    <t>Tính năng</t>
  </si>
  <si>
    <t>Nhóm</t>
  </si>
  <si>
    <t>Quyết định</t>
  </si>
  <si>
    <t>Lý do</t>
  </si>
  <si>
    <t>Giá trị demo</t>
  </si>
  <si>
    <t>Rủi ro thời gian</t>
  </si>
  <si>
    <t>Điều kiện đưa vào</t>
  </si>
  <si>
    <t>Ghi chú</t>
  </si>
  <si>
    <t>Đăng nhập buyer/seller</t>
  </si>
  <si>
    <t>Nền tảng</t>
  </si>
  <si>
    <t>Cần để phân quyền và sở hữu shop/đơn.</t>
  </si>
  <si>
    <t>Thấp</t>
  </si>
  <si>
    <t>Làm ngay tuần 1</t>
  </si>
  <si>
    <t>Có thể dùng tài khoản demo nếu chưa có SSO.</t>
  </si>
  <si>
    <t>Seller</t>
  </si>
  <si>
    <t>Bắt buộc cho marketplace đa nhà bán.</t>
  </si>
  <si>
    <t>Thông tin tối giản</t>
  </si>
  <si>
    <t>Một seller một shop trong MVP.</t>
  </si>
  <si>
    <t>Product + SKU + tồn kho</t>
  </si>
  <si>
    <t>Catalogue</t>
  </si>
  <si>
    <t>Lõi dữ liệu của e-commerce.</t>
  </si>
  <si>
    <t>Rất cao</t>
  </si>
  <si>
    <t>Hoàn thành tuần 1</t>
  </si>
  <si>
    <t>Có variant màu/kích thước.</t>
  </si>
  <si>
    <t>Kiểm tra listing tự động</t>
  </si>
  <si>
    <t>Moderation</t>
  </si>
  <si>
    <t>Thay cho duyệt thủ công; thể hiện rule nghiệp vụ.</t>
  </si>
  <si>
    <t>Rule đơn giản</t>
  </si>
  <si>
    <t>Không AI.</t>
  </si>
  <si>
    <t>Tìm kiếm/lọc sản phẩm</t>
  </si>
  <si>
    <t>Buyer</t>
  </si>
  <si>
    <t>Cần cho trải nghiệm mua hàng.</t>
  </si>
  <si>
    <t>Tìm theo tên/danh mục</t>
  </si>
  <si>
    <t>Không cần Elasticsearch.</t>
  </si>
  <si>
    <t>Giỏ hàng đa shop</t>
  </si>
  <si>
    <t>Commerce</t>
  </si>
  <si>
    <t>Điểm khác biệt quan trọng của marketplace.</t>
  </si>
  <si>
    <t>Hoàn thành tuần 2</t>
  </si>
  <si>
    <t>Nhóm item theo shop.</t>
  </si>
  <si>
    <t>Tách đơn theo shop</t>
  </si>
  <si>
    <t>Order</t>
  </si>
  <si>
    <t>Cho từng seller xử lý độc lập.</t>
  </si>
  <si>
    <t>Parent order + sub-order</t>
  </si>
  <si>
    <t>Lõi demo.</t>
  </si>
  <si>
    <t>Giữ tồn kho khi checkout</t>
  </si>
  <si>
    <t>Inventory</t>
  </si>
  <si>
    <t>Ngăn bán vượt tồn kho.</t>
  </si>
  <si>
    <t>Có timeout và release</t>
  </si>
  <si>
    <t>Ưu tiên test đồng thời.</t>
  </si>
  <si>
    <t>Payment</t>
  </si>
  <si>
    <t>Tích hợp đúng bối cảnh MiniApp.</t>
  </si>
  <si>
    <t>Có sandbox/API</t>
  </si>
  <si>
    <t>Nếu không có thì mock adapter.</t>
  </si>
  <si>
    <t>Theo dõi trạng thái đơn</t>
  </si>
  <si>
    <t>Buyer và seller đều cần.</t>
  </si>
  <si>
    <t>State flow tối giản</t>
  </si>
  <si>
    <t>Không làm logistics thật.</t>
  </si>
  <si>
    <t>Voucher shop đơn giản</t>
  </si>
  <si>
    <t>Promotion</t>
  </si>
  <si>
    <t>Tăng chất lượng demo nhưng không phải lõi.</t>
  </si>
  <si>
    <t>Chỉ làm nếu core ổn</t>
  </si>
  <si>
    <t>Không làm voucher platform phức tạp.</t>
  </si>
  <si>
    <t>Communication</t>
  </si>
  <si>
    <t>Hữu ích nhưng dễ lan scope.</t>
  </si>
  <si>
    <t>Tích hợp V-App hoặc text only</t>
  </si>
  <si>
    <t>Bỏ nếu thiếu thời gian.</t>
  </si>
  <si>
    <t>Gợi ý sản phẩm rule-based</t>
  </si>
  <si>
    <t>Discovery</t>
  </si>
  <si>
    <t>Tăng trải nghiệm và có thể làm đơn giản.</t>
  </si>
  <si>
    <t>Dùng cùng danh mục/bán chạy</t>
  </si>
  <si>
    <t>Review sản phẩm</t>
  </si>
  <si>
    <t>Trust</t>
  </si>
  <si>
    <t>Dễ hiểu, nhưng không quan trọng bằng checkout.</t>
  </si>
  <si>
    <t>Thấp–trung bình</t>
  </si>
  <si>
    <t>Chỉ buyer đã hoàn thành đơn</t>
  </si>
  <si>
    <t>Có thể bỏ.</t>
  </si>
  <si>
    <t>Seller dashboard</t>
  </si>
  <si>
    <t>Giúp demo seller flow.</t>
  </si>
  <si>
    <t>Chỉ vài chỉ số</t>
  </si>
  <si>
    <t>Không làm analytics sâu.</t>
  </si>
  <si>
    <t>Admin Portal</t>
  </si>
  <si>
    <t>Operations</t>
  </si>
  <si>
    <t>Loại khỏi MVP</t>
  </si>
  <si>
    <t>Tốn nhiều UI, không tăng giá trị lõi tương xứng.</t>
  </si>
  <si>
    <t>Chỉ thêm khi mentor yêu cầu</t>
  </si>
  <si>
    <t>Dùng Swagger/API nội bộ.</t>
  </si>
  <si>
    <t>Phí nền tảng/commission</t>
  </si>
  <si>
    <t>Finance</t>
  </si>
  <si>
    <t>Future</t>
  </si>
  <si>
    <t>Kéo theo refund, settlement, versioning và đối soát.</t>
  </si>
  <si>
    <t>Không trong 4 tuần</t>
  </si>
  <si>
    <t>Đã research riêng.</t>
  </si>
  <si>
    <t>Settlement cho seller</t>
  </si>
  <si>
    <t>Cần sổ giao dịch và đối soát.</t>
  </si>
  <si>
    <t>Dự án tiếp theo</t>
  </si>
  <si>
    <t>Không triển khai.</t>
  </si>
  <si>
    <t>Logistics thật</t>
  </si>
  <si>
    <t>Fulfillment</t>
  </si>
  <si>
    <t>Phụ thuộc đối tác ngoài.</t>
  </si>
  <si>
    <t>Chỉ mock status</t>
  </si>
  <si>
    <t>Không tích hợp hãng vận chuyển.</t>
  </si>
  <si>
    <t>Dispute/return/refund phức tạp</t>
  </si>
  <si>
    <t>Nhiều quy tắc và bằng chứng.</t>
  </si>
  <si>
    <t>Chỉ mô phỏng đơn giản nếu dư thời gian</t>
  </si>
  <si>
    <t>Không phải MVP.</t>
  </si>
  <si>
    <t>Livestream/affiliate/ads</t>
  </si>
  <si>
    <t>Growth</t>
  </si>
  <si>
    <t>Không liên quan trực tiếp mục tiêu kỹ thuật chính.</t>
  </si>
  <si>
    <t>Không làm</t>
  </si>
  <si>
    <t>Chỉ ghi roadmap.</t>
  </si>
  <si>
    <t>V-MARKET — QUYẾT ĐỊNH PHẠM VI 4 TUẦN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</si>
</sst>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F5D7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0" fillId="0" borderId="0" xfId="0" applyAlignment="1">
      <alignment vertical="top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3"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earchOverviewTable" displayName="ResearchOverviewTable" ref="A9:H17">
  <tableColumns count="8">
    <tableColumn id="1" xr3:uid="{00000000-0010-0000-0000-000001000000}" name="Nhóm research"/>
    <tableColumn id="2" xr3:uid="{00000000-0010-0000-0000-000002000000}" name="Câu hỏi đã tò mò"/>
    <tableColumn id="3" xr3:uid="{00000000-0010-0000-0000-000003000000}" name="Kết luận ngắn"/>
    <tableColumn id="4" xr3:uid="{00000000-0010-0000-0000-000004000000}" name="Mức chắc chắn"/>
    <tableColumn id="5" xr3:uid="{00000000-0010-0000-0000-000005000000}" name="Ảnh hưởng tới V-Market"/>
    <tableColumn id="6" xr3:uid="{00000000-0010-0000-0000-000006000000}" name="Quyết định hiện tại"/>
    <tableColumn id="7" xr3:uid="{00000000-0010-0000-0000-000007000000}" name="Cần xác minh thêm"/>
    <tableColumn id="8" xr3:uid="{00000000-0010-0000-0000-000008000000}" name="Nguồn chín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erationResearchTable" displayName="ModerationResearchTable" ref="A3:G8">
  <tableColumns count="7">
    <tableColumn id="1" xr3:uid="{00000000-0010-0000-0100-000001000000}" name="Khâu"/>
    <tableColumn id="2" xr3:uid="{00000000-0010-0000-0100-000002000000}" name="Có thể tự động"/>
    <tableColumn id="3" xr3:uid="{00000000-0010-0000-0100-000003000000}" name="Khi nào cần con người"/>
    <tableColumn id="4" xr3:uid="{00000000-0010-0000-0100-000004000000}" name="Thiết kế cho V-Market"/>
    <tableColumn id="5" xr3:uid="{00000000-0010-0000-0100-000005000000}" name="Có trong 4 tuần?"/>
    <tableColumn id="6" xr3:uid="{00000000-0010-0000-0100-000006000000}" name="Ghi chú nội bộ"/>
    <tableColumn id="7" xr3:uid="{00000000-0010-0000-0100-000007000000}" name="Nguồ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ppIntegrationTable" displayName="VAppIntegrationTable" ref="A3:H9">
  <tableColumns count="8">
    <tableColumn id="1" xr3:uid="{00000000-0010-0000-0200-000001000000}" name="Dịch vụ/khả năng"/>
    <tableColumn id="2" xr3:uid="{00000000-0010-0000-0200-000002000000}" name="Điều đã xác minh"/>
    <tableColumn id="3" xr3:uid="{00000000-0010-0000-0200-000003000000}" name="Vai trò trong V-Market"/>
    <tableColumn id="4" xr3:uid="{00000000-0010-0000-0200-000004000000}" name="Tự xây hay tích hợp"/>
    <tableColumn id="5" xr3:uid="{00000000-0010-0000-0200-000005000000}" name="Mức ưu tiên"/>
    <tableColumn id="6" xr3:uid="{00000000-0010-0000-0200-000006000000}" name="Fallback khi không có API"/>
    <tableColumn id="7" xr3:uid="{00000000-0010-0000-0200-000007000000}" name="Điểm cần hỏi"/>
    <tableColumn id="8" xr3:uid="{00000000-0010-0000-0200-000008000000}" name="Nguồ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eeResearchTable" displayName="FeeResearchTable" ref="A3:H7">
  <tableColumns count="8">
    <tableColumn id="1" xr3:uid="{00000000-0010-0000-0300-000001000000}" name="Nền tảng/nguồn"/>
    <tableColumn id="2" xr3:uid="{00000000-0010-0000-0300-000002000000}" name="Loại phí"/>
    <tableColumn id="3" xr3:uid="{00000000-0010-0000-0300-000003000000}" name="Cách cấu hình"/>
    <tableColumn id="4" xr3:uid="{00000000-0010-0000-0300-000004000000}" name="Cơ sở tính"/>
    <tableColumn id="5" xr3:uid="{00000000-0010-0000-0300-000005000000}" name="Thời điểm ghi nhận"/>
    <tableColumn id="6" xr3:uid="{00000000-0010-0000-0300-000006000000}" name="Bài toán kéo theo"/>
    <tableColumn id="7" xr3:uid="{00000000-0010-0000-0300-000007000000}" name="Áp dụng cho V-Market"/>
    <tableColumn id="8" xr3:uid="{00000000-0010-0000-0300-000008000000}" name="Nguồ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copeDecisionTable" displayName="ScopeDecisionTable" ref="A3:H24">
  <tableColumns count="8">
    <tableColumn id="1" xr3:uid="{00000000-0010-0000-0400-000001000000}" name="Tính năng"/>
    <tableColumn id="2" xr3:uid="{00000000-0010-0000-0400-000002000000}" name="Nhóm"/>
    <tableColumn id="3" xr3:uid="{00000000-0010-0000-0400-000003000000}" name="Quyết định"/>
    <tableColumn id="4" xr3:uid="{00000000-0010-0000-0400-000004000000}" name="Lý do"/>
    <tableColumn id="5" xr3:uid="{00000000-0010-0000-0400-000005000000}" name="Giá trị demo"/>
    <tableColumn id="6" xr3:uid="{00000000-0010-0000-0400-000006000000}" name="Rủi ro thời gian"/>
    <tableColumn id="7" xr3:uid="{00000000-0010-0000-0400-000007000000}" name="Điều kiện đưa vào"/>
    <tableColumn id="8" xr3:uid="{00000000-0010-0000-0400-000008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9"/>
  <sheetViews>
    <sheetView topLeftCell="A11" workbookViewId="0">
      <selection activeCell="A17" sqref="A17:H17"/>
    </sheetView>
  </sheetViews>
  <sheetFormatPr defaultRowHeight="14.25"/>
  <cols>
    <col min="1" max="1" width="22" customWidth="1"/>
    <col min="2" max="2" width="30" customWidth="1"/>
    <col min="3" max="3" width="38" customWidth="1"/>
    <col min="4" max="4" width="14" customWidth="1"/>
    <col min="5" max="5" width="34" customWidth="1"/>
    <col min="6" max="6" width="26" customWidth="1"/>
    <col min="7" max="7" width="30" customWidth="1"/>
    <col min="8" max="8" width="42" customWidth="1"/>
    <col min="10" max="10" width="20" customWidth="1"/>
    <col min="11" max="11" width="12" customWidth="1"/>
  </cols>
  <sheetData>
    <row r="1" spans="1:11" ht="27.95" customHeight="1">
      <c r="A1" s="13" t="s">
        <v>0</v>
      </c>
      <c r="B1" s="14"/>
      <c r="C1" s="14"/>
      <c r="D1" s="14"/>
      <c r="E1" s="14"/>
      <c r="F1" s="14"/>
      <c r="G1" s="14"/>
      <c r="H1" s="14"/>
    </row>
    <row r="2" spans="1:11">
      <c r="A2" s="4"/>
    </row>
    <row r="3" spans="1:11" ht="15">
      <c r="A3" s="11" t="s">
        <v>1</v>
      </c>
      <c r="B3" s="1" t="s">
        <v>2</v>
      </c>
      <c r="J3" s="12"/>
      <c r="K3" s="12"/>
    </row>
    <row r="4" spans="1:11" ht="28.5">
      <c r="A4" s="6" t="s">
        <v>3</v>
      </c>
      <c r="B4" s="2">
        <f>COUNTA('Quyết định phạm vi'!A4:A24)</f>
        <v>21</v>
      </c>
    </row>
    <row r="5" spans="1:11">
      <c r="A5" s="6" t="s">
        <v>5</v>
      </c>
      <c r="B5" s="2">
        <f>COUNTIF('Quyết định phạm vi'!C4:C24,"MVP")</f>
        <v>10</v>
      </c>
    </row>
    <row r="6" spans="1:11">
      <c r="A6" s="6" t="s">
        <v>7</v>
      </c>
      <c r="B6" s="2">
        <f>COUNTIF('Quyết định phạm vi'!C4:C24,"Optional")</f>
        <v>5</v>
      </c>
    </row>
    <row r="7" spans="1:11">
      <c r="A7" s="8" t="s">
        <v>8</v>
      </c>
      <c r="B7" s="3">
        <f>COUNTIF('Quyết định phạm vi'!C4:C24,"Future")+COUNTIF('Quyết định phạm vi'!C4:C24,"Loại khỏi MVP")</f>
        <v>6</v>
      </c>
    </row>
    <row r="8" spans="1:11">
      <c r="A8" s="4"/>
    </row>
    <row r="9" spans="1:11" ht="30">
      <c r="A9" s="11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1" t="s">
        <v>16</v>
      </c>
    </row>
    <row r="10" spans="1:11" ht="71.25">
      <c r="A10" s="6" t="s">
        <v>17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7" t="s">
        <v>24</v>
      </c>
    </row>
    <row r="11" spans="1:11" ht="85.5">
      <c r="A11" s="6" t="s">
        <v>25</v>
      </c>
      <c r="B11" s="4" t="s">
        <v>26</v>
      </c>
      <c r="C11" s="4" t="s">
        <v>27</v>
      </c>
      <c r="D11" s="4" t="s">
        <v>20</v>
      </c>
      <c r="E11" s="4" t="s">
        <v>28</v>
      </c>
      <c r="F11" s="4" t="s">
        <v>29</v>
      </c>
      <c r="G11" s="4" t="s">
        <v>30</v>
      </c>
      <c r="H11" s="7" t="s">
        <v>31</v>
      </c>
    </row>
    <row r="12" spans="1:11" ht="42.75">
      <c r="A12" s="6" t="s">
        <v>32</v>
      </c>
      <c r="B12" s="4" t="s">
        <v>33</v>
      </c>
      <c r="C12" s="4" t="s">
        <v>34</v>
      </c>
      <c r="D12" s="4" t="s">
        <v>20</v>
      </c>
      <c r="E12" s="4" t="s">
        <v>35</v>
      </c>
      <c r="F12" s="4" t="s">
        <v>36</v>
      </c>
      <c r="G12" s="4" t="s">
        <v>37</v>
      </c>
      <c r="H12" s="7" t="s">
        <v>38</v>
      </c>
    </row>
    <row r="13" spans="1:11" ht="42.75">
      <c r="A13" s="6" t="s">
        <v>39</v>
      </c>
      <c r="B13" s="4" t="s">
        <v>40</v>
      </c>
      <c r="C13" s="4" t="s">
        <v>41</v>
      </c>
      <c r="D13" s="4" t="s">
        <v>20</v>
      </c>
      <c r="E13" s="4" t="s">
        <v>42</v>
      </c>
      <c r="F13" s="4" t="s">
        <v>43</v>
      </c>
      <c r="G13" s="4" t="s">
        <v>44</v>
      </c>
      <c r="H13" s="7" t="s">
        <v>45</v>
      </c>
    </row>
    <row r="14" spans="1:11" ht="42.75">
      <c r="A14" s="6" t="s">
        <v>46</v>
      </c>
      <c r="B14" s="4" t="s">
        <v>47</v>
      </c>
      <c r="C14" s="4" t="s">
        <v>48</v>
      </c>
      <c r="D14" s="4" t="s">
        <v>49</v>
      </c>
      <c r="E14" s="4" t="s">
        <v>50</v>
      </c>
      <c r="F14" s="4" t="s">
        <v>51</v>
      </c>
      <c r="G14" s="4" t="s">
        <v>52</v>
      </c>
      <c r="H14" s="7" t="s">
        <v>53</v>
      </c>
    </row>
    <row r="15" spans="1:11" ht="42.75">
      <c r="A15" s="6" t="s">
        <v>54</v>
      </c>
      <c r="B15" s="4" t="s">
        <v>55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60</v>
      </c>
      <c r="H15" s="7" t="s">
        <v>61</v>
      </c>
    </row>
    <row r="16" spans="1:11" ht="42.75">
      <c r="A16" s="6" t="s">
        <v>62</v>
      </c>
      <c r="B16" s="4" t="s">
        <v>63</v>
      </c>
      <c r="C16" s="4" t="s">
        <v>64</v>
      </c>
      <c r="D16" s="4" t="s">
        <v>20</v>
      </c>
      <c r="E16" s="4" t="s">
        <v>65</v>
      </c>
      <c r="F16" s="4" t="s">
        <v>66</v>
      </c>
      <c r="G16" s="4" t="s">
        <v>67</v>
      </c>
      <c r="H16" s="7" t="s">
        <v>68</v>
      </c>
    </row>
    <row r="17" spans="1:8" ht="42.75">
      <c r="A17" s="8" t="s">
        <v>69</v>
      </c>
      <c r="B17" s="9" t="s">
        <v>70</v>
      </c>
      <c r="C17" s="9" t="s">
        <v>71</v>
      </c>
      <c r="D17" s="9" t="s">
        <v>20</v>
      </c>
      <c r="E17" s="9" t="s">
        <v>72</v>
      </c>
      <c r="F17" s="9" t="s">
        <v>73</v>
      </c>
      <c r="G17" s="9" t="s">
        <v>74</v>
      </c>
      <c r="H17" s="10" t="s">
        <v>75</v>
      </c>
    </row>
    <row r="18" spans="1:8">
      <c r="A18" s="4"/>
    </row>
    <row r="19" spans="1:8">
      <c r="A19" s="4"/>
    </row>
    <row r="20" spans="1:8">
      <c r="A20" s="4"/>
    </row>
    <row r="21" spans="1:8">
      <c r="A21" s="4"/>
    </row>
    <row r="22" spans="1:8">
      <c r="A22" s="4"/>
    </row>
    <row r="23" spans="1:8">
      <c r="A23" s="4"/>
    </row>
    <row r="24" spans="1:8">
      <c r="A24" s="4"/>
    </row>
    <row r="25" spans="1:8">
      <c r="A25" s="4"/>
    </row>
    <row r="26" spans="1:8">
      <c r="A26" s="4"/>
    </row>
    <row r="27" spans="1:8">
      <c r="A27" s="4"/>
    </row>
    <row r="28" spans="1:8">
      <c r="A28" s="4"/>
    </row>
    <row r="29" spans="1:8">
      <c r="A29" s="4"/>
    </row>
    <row r="30" spans="1:8">
      <c r="A30" s="4"/>
    </row>
    <row r="31" spans="1:8">
      <c r="A31" s="4"/>
    </row>
    <row r="32" spans="1:8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selection activeCell="A8" sqref="A8:G8"/>
    </sheetView>
  </sheetViews>
  <sheetFormatPr defaultRowHeight="14.25"/>
  <cols>
    <col min="1" max="1" width="18" customWidth="1"/>
    <col min="2" max="4" width="34" customWidth="1"/>
    <col min="5" max="5" width="14" customWidth="1"/>
    <col min="6" max="6" width="28" customWidth="1"/>
    <col min="7" max="7" width="42" customWidth="1"/>
  </cols>
  <sheetData>
    <row r="1" spans="1:7" ht="27.95" customHeight="1">
      <c r="A1" s="13" t="s">
        <v>76</v>
      </c>
      <c r="B1" s="14"/>
      <c r="C1" s="14"/>
      <c r="D1" s="14"/>
      <c r="E1" s="14"/>
      <c r="F1" s="14"/>
      <c r="G1" s="14"/>
    </row>
    <row r="2" spans="1:7">
      <c r="A2" s="4"/>
    </row>
    <row r="3" spans="1:7" ht="30">
      <c r="A3" s="11" t="s">
        <v>77</v>
      </c>
      <c r="B3" s="5" t="s">
        <v>78</v>
      </c>
      <c r="C3" s="5" t="s">
        <v>79</v>
      </c>
      <c r="D3" s="5" t="s">
        <v>80</v>
      </c>
      <c r="E3" s="5" t="s">
        <v>81</v>
      </c>
      <c r="F3" s="5" t="s">
        <v>82</v>
      </c>
      <c r="G3" s="1" t="s">
        <v>83</v>
      </c>
    </row>
    <row r="4" spans="1:7" ht="85.5">
      <c r="A4" s="6" t="s">
        <v>84</v>
      </c>
      <c r="B4" s="4" t="s">
        <v>85</v>
      </c>
      <c r="C4" s="4" t="s">
        <v>86</v>
      </c>
      <c r="D4" s="4" t="s">
        <v>87</v>
      </c>
      <c r="E4" s="4" t="s">
        <v>88</v>
      </c>
      <c r="F4" s="4" t="s">
        <v>89</v>
      </c>
      <c r="G4" s="7" t="s">
        <v>31</v>
      </c>
    </row>
    <row r="5" spans="1:7" ht="71.25">
      <c r="A5" s="6" t="s">
        <v>90</v>
      </c>
      <c r="B5" s="4" t="s">
        <v>91</v>
      </c>
      <c r="C5" s="4" t="s">
        <v>92</v>
      </c>
      <c r="D5" s="4" t="s">
        <v>93</v>
      </c>
      <c r="E5" s="4" t="s">
        <v>88</v>
      </c>
      <c r="F5" s="4" t="s">
        <v>94</v>
      </c>
      <c r="G5" s="7" t="s">
        <v>24</v>
      </c>
    </row>
    <row r="6" spans="1:7" ht="28.5">
      <c r="A6" s="6" t="s">
        <v>95</v>
      </c>
      <c r="B6" s="4" t="s">
        <v>96</v>
      </c>
      <c r="C6" s="4" t="s">
        <v>97</v>
      </c>
      <c r="D6" s="4" t="s">
        <v>98</v>
      </c>
      <c r="E6" s="4" t="s">
        <v>99</v>
      </c>
      <c r="F6" s="4" t="s">
        <v>100</v>
      </c>
      <c r="G6" s="7" t="s">
        <v>101</v>
      </c>
    </row>
    <row r="7" spans="1:7" ht="85.5">
      <c r="A7" s="6" t="s">
        <v>102</v>
      </c>
      <c r="B7" s="4" t="s">
        <v>103</v>
      </c>
      <c r="C7" s="4" t="s">
        <v>104</v>
      </c>
      <c r="D7" s="4" t="s">
        <v>105</v>
      </c>
      <c r="E7" s="4" t="s">
        <v>106</v>
      </c>
      <c r="F7" s="4" t="s">
        <v>107</v>
      </c>
      <c r="G7" s="7" t="s">
        <v>31</v>
      </c>
    </row>
    <row r="8" spans="1:7" ht="114">
      <c r="A8" s="8" t="s">
        <v>108</v>
      </c>
      <c r="B8" s="9" t="s">
        <v>109</v>
      </c>
      <c r="C8" s="9" t="s">
        <v>110</v>
      </c>
      <c r="D8" s="9" t="s">
        <v>111</v>
      </c>
      <c r="E8" s="9" t="s">
        <v>112</v>
      </c>
      <c r="F8" s="9" t="s">
        <v>113</v>
      </c>
      <c r="G8" s="10" t="s">
        <v>114</v>
      </c>
    </row>
    <row r="9" spans="1:7">
      <c r="A9" s="4"/>
    </row>
    <row r="10" spans="1:7">
      <c r="A10" s="4"/>
    </row>
    <row r="11" spans="1:7">
      <c r="A11" s="4"/>
    </row>
    <row r="12" spans="1:7">
      <c r="A12" s="4"/>
    </row>
    <row r="13" spans="1:7">
      <c r="A13" s="4"/>
    </row>
    <row r="14" spans="1:7">
      <c r="A14" s="4"/>
    </row>
    <row r="15" spans="1:7">
      <c r="A15" s="4"/>
    </row>
    <row r="16" spans="1:7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"/>
  <sheetViews>
    <sheetView workbookViewId="0">
      <selection activeCell="A4" sqref="A4:H9"/>
    </sheetView>
  </sheetViews>
  <sheetFormatPr defaultRowHeight="14.25"/>
  <cols>
    <col min="1" max="1" width="20" customWidth="1"/>
    <col min="2" max="2" width="38" customWidth="1"/>
    <col min="3" max="3" width="32" customWidth="1"/>
    <col min="4" max="4" width="24" customWidth="1"/>
    <col min="5" max="5" width="14" customWidth="1"/>
    <col min="6" max="6" width="28" customWidth="1"/>
    <col min="7" max="7" width="32" customWidth="1"/>
    <col min="8" max="8" width="42" customWidth="1"/>
  </cols>
  <sheetData>
    <row r="1" spans="1:8" ht="27.95" customHeight="1">
      <c r="A1" s="13" t="s">
        <v>115</v>
      </c>
      <c r="B1" s="14"/>
      <c r="C1" s="14"/>
      <c r="D1" s="14"/>
      <c r="E1" s="14"/>
      <c r="F1" s="14"/>
      <c r="G1" s="14"/>
      <c r="H1" s="14"/>
    </row>
    <row r="2" spans="1:8">
      <c r="A2" s="4"/>
    </row>
    <row r="3" spans="1:8" ht="15">
      <c r="A3" s="11" t="s">
        <v>116</v>
      </c>
      <c r="B3" s="5" t="s">
        <v>117</v>
      </c>
      <c r="C3" s="5" t="s">
        <v>118</v>
      </c>
      <c r="D3" s="5" t="s">
        <v>119</v>
      </c>
      <c r="E3" s="5" t="s">
        <v>120</v>
      </c>
      <c r="F3" s="5" t="s">
        <v>121</v>
      </c>
      <c r="G3" s="5" t="s">
        <v>122</v>
      </c>
      <c r="H3" s="1" t="s">
        <v>83</v>
      </c>
    </row>
    <row r="4" spans="1:8" ht="42.75">
      <c r="A4" s="6" t="s">
        <v>123</v>
      </c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  <c r="G4" s="4" t="s">
        <v>129</v>
      </c>
      <c r="H4" s="7" t="s">
        <v>38</v>
      </c>
    </row>
    <row r="5" spans="1:8" ht="28.5">
      <c r="A5" s="6" t="s">
        <v>130</v>
      </c>
      <c r="B5" s="4" t="s">
        <v>131</v>
      </c>
      <c r="C5" s="4" t="s">
        <v>132</v>
      </c>
      <c r="D5" s="4" t="s">
        <v>133</v>
      </c>
      <c r="E5" s="4" t="s">
        <v>99</v>
      </c>
      <c r="F5" s="4" t="s">
        <v>134</v>
      </c>
      <c r="G5" s="4" t="s">
        <v>135</v>
      </c>
      <c r="H5" s="7" t="s">
        <v>45</v>
      </c>
    </row>
    <row r="6" spans="1:8" ht="42.75">
      <c r="A6" s="6" t="s">
        <v>136</v>
      </c>
      <c r="B6" s="4" t="s">
        <v>137</v>
      </c>
      <c r="C6" s="4" t="s">
        <v>138</v>
      </c>
      <c r="D6" s="4" t="s">
        <v>139</v>
      </c>
      <c r="E6" s="4" t="s">
        <v>99</v>
      </c>
      <c r="F6" s="4" t="s">
        <v>140</v>
      </c>
      <c r="G6" s="4" t="s">
        <v>141</v>
      </c>
      <c r="H6" s="7" t="s">
        <v>53</v>
      </c>
    </row>
    <row r="7" spans="1:8" ht="28.5">
      <c r="A7" s="6" t="s">
        <v>142</v>
      </c>
      <c r="B7" s="4" t="s">
        <v>143</v>
      </c>
      <c r="C7" s="4" t="s">
        <v>144</v>
      </c>
      <c r="D7" s="4" t="s">
        <v>145</v>
      </c>
      <c r="E7" s="4" t="s">
        <v>99</v>
      </c>
      <c r="F7" s="4" t="s">
        <v>146</v>
      </c>
      <c r="G7" s="4" t="s">
        <v>147</v>
      </c>
      <c r="H7" s="7" t="s">
        <v>53</v>
      </c>
    </row>
    <row r="8" spans="1:8" ht="42.75">
      <c r="A8" s="6" t="s">
        <v>148</v>
      </c>
      <c r="B8" s="4" t="s">
        <v>149</v>
      </c>
      <c r="C8" s="4" t="s">
        <v>150</v>
      </c>
      <c r="D8" s="4" t="s">
        <v>151</v>
      </c>
      <c r="E8" s="4" t="s">
        <v>99</v>
      </c>
      <c r="F8" s="4" t="s">
        <v>152</v>
      </c>
      <c r="G8" s="4" t="s">
        <v>153</v>
      </c>
      <c r="H8" s="7" t="s">
        <v>61</v>
      </c>
    </row>
    <row r="9" spans="1:8" ht="42.75">
      <c r="A9" s="8" t="s">
        <v>154</v>
      </c>
      <c r="B9" s="9" t="s">
        <v>155</v>
      </c>
      <c r="C9" s="9" t="s">
        <v>156</v>
      </c>
      <c r="D9" s="9" t="s">
        <v>126</v>
      </c>
      <c r="E9" s="9" t="s">
        <v>127</v>
      </c>
      <c r="F9" s="9" t="s">
        <v>157</v>
      </c>
      <c r="G9" s="9" t="s">
        <v>158</v>
      </c>
      <c r="H9" s="10" t="s">
        <v>53</v>
      </c>
    </row>
    <row r="10" spans="1:8">
      <c r="A10" s="4"/>
    </row>
    <row r="11" spans="1:8">
      <c r="A11" s="4"/>
    </row>
    <row r="12" spans="1:8">
      <c r="A12" s="4"/>
    </row>
    <row r="13" spans="1:8">
      <c r="A13" s="4"/>
    </row>
    <row r="14" spans="1:8">
      <c r="A14" s="4"/>
    </row>
    <row r="15" spans="1:8">
      <c r="A15" s="4"/>
    </row>
    <row r="16" spans="1:8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9"/>
  <sheetViews>
    <sheetView workbookViewId="0">
      <selection activeCell="A2" sqref="A2:XFD2"/>
    </sheetView>
  </sheetViews>
  <sheetFormatPr defaultRowHeight="14.25"/>
  <cols>
    <col min="1" max="1" width="22" customWidth="1"/>
    <col min="2" max="2" width="24" customWidth="1"/>
    <col min="3" max="3" width="34" customWidth="1"/>
    <col min="4" max="4" width="28" customWidth="1"/>
    <col min="5" max="5" width="24" customWidth="1"/>
    <col min="6" max="6" width="32" customWidth="1"/>
    <col min="7" max="7" width="28" customWidth="1"/>
    <col min="8" max="8" width="42" customWidth="1"/>
  </cols>
  <sheetData>
    <row r="1" spans="1:8" ht="27.95" customHeight="1">
      <c r="A1" s="13" t="s">
        <v>159</v>
      </c>
      <c r="B1" s="14"/>
      <c r="C1" s="14"/>
      <c r="D1" s="14"/>
      <c r="E1" s="14"/>
      <c r="F1" s="14"/>
      <c r="G1" s="14"/>
      <c r="H1" s="14"/>
    </row>
    <row r="2" spans="1:8">
      <c r="A2" s="4"/>
    </row>
    <row r="3" spans="1:8" ht="15">
      <c r="A3" s="11" t="s">
        <v>160</v>
      </c>
      <c r="B3" s="5" t="s">
        <v>161</v>
      </c>
      <c r="C3" s="5" t="s">
        <v>162</v>
      </c>
      <c r="D3" s="5" t="s">
        <v>163</v>
      </c>
      <c r="E3" s="5" t="s">
        <v>164</v>
      </c>
      <c r="F3" s="5" t="s">
        <v>165</v>
      </c>
      <c r="G3" s="5" t="s">
        <v>166</v>
      </c>
      <c r="H3" s="1" t="s">
        <v>83</v>
      </c>
    </row>
    <row r="4" spans="1:8" ht="42.75">
      <c r="A4" s="6" t="s">
        <v>167</v>
      </c>
      <c r="B4" s="4" t="s">
        <v>168</v>
      </c>
      <c r="C4" s="4" t="s">
        <v>169</v>
      </c>
      <c r="D4" s="4" t="s">
        <v>170</v>
      </c>
      <c r="E4" s="4" t="s">
        <v>171</v>
      </c>
      <c r="F4" s="4" t="s">
        <v>172</v>
      </c>
      <c r="G4" s="4" t="s">
        <v>173</v>
      </c>
      <c r="H4" s="7" t="s">
        <v>174</v>
      </c>
    </row>
    <row r="5" spans="1:8" ht="42.75">
      <c r="A5" s="6" t="s">
        <v>175</v>
      </c>
      <c r="B5" s="4" t="s">
        <v>176</v>
      </c>
      <c r="C5" s="4" t="s">
        <v>177</v>
      </c>
      <c r="D5" s="4" t="s">
        <v>178</v>
      </c>
      <c r="E5" s="4" t="s">
        <v>179</v>
      </c>
      <c r="F5" s="4" t="s">
        <v>180</v>
      </c>
      <c r="G5" s="4" t="s">
        <v>181</v>
      </c>
      <c r="H5" s="7" t="s">
        <v>68</v>
      </c>
    </row>
    <row r="6" spans="1:8" ht="28.5">
      <c r="A6" s="6" t="s">
        <v>182</v>
      </c>
      <c r="B6" s="4" t="s">
        <v>183</v>
      </c>
      <c r="C6" s="4" t="s">
        <v>184</v>
      </c>
      <c r="D6" s="4" t="s">
        <v>185</v>
      </c>
      <c r="E6" s="4" t="s">
        <v>186</v>
      </c>
      <c r="F6" s="4" t="s">
        <v>187</v>
      </c>
      <c r="G6" s="4" t="s">
        <v>188</v>
      </c>
      <c r="H6" s="7" t="s">
        <v>75</v>
      </c>
    </row>
    <row r="7" spans="1:8" ht="28.5">
      <c r="A7" s="8" t="s">
        <v>189</v>
      </c>
      <c r="B7" s="9" t="s">
        <v>190</v>
      </c>
      <c r="C7" s="9" t="s">
        <v>191</v>
      </c>
      <c r="D7" s="9" t="s">
        <v>192</v>
      </c>
      <c r="E7" s="9" t="s">
        <v>193</v>
      </c>
      <c r="F7" s="9" t="s">
        <v>194</v>
      </c>
      <c r="G7" s="9" t="s">
        <v>195</v>
      </c>
      <c r="H7" s="10" t="s">
        <v>38</v>
      </c>
    </row>
    <row r="8" spans="1:8">
      <c r="A8" s="4"/>
    </row>
    <row r="9" spans="1:8">
      <c r="A9" s="4"/>
    </row>
    <row r="10" spans="1:8">
      <c r="A10" s="4"/>
    </row>
    <row r="11" spans="1:8">
      <c r="A11" s="4"/>
    </row>
    <row r="12" spans="1:8">
      <c r="A12" s="4"/>
    </row>
    <row r="13" spans="1:8">
      <c r="A13" s="4"/>
    </row>
    <row r="14" spans="1:8">
      <c r="A14" s="4"/>
    </row>
    <row r="15" spans="1:8">
      <c r="A15" s="4"/>
    </row>
    <row r="16" spans="1:8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0"/>
  <sheetViews>
    <sheetView tabSelected="1" topLeftCell="A16" workbookViewId="0">
      <selection activeCell="E22" sqref="E22"/>
    </sheetView>
  </sheetViews>
  <sheetFormatPr defaultRowHeight="14.25"/>
  <cols>
    <col min="1" max="1" width="30" customWidth="1"/>
    <col min="2" max="3" width="18" customWidth="1"/>
    <col min="4" max="4" width="36" customWidth="1"/>
    <col min="5" max="5" width="16" customWidth="1"/>
    <col min="6" max="6" width="18" customWidth="1"/>
    <col min="7" max="8" width="30" customWidth="1"/>
  </cols>
  <sheetData>
    <row r="1" spans="1:8" ht="27.95" customHeight="1">
      <c r="A1" s="13" t="s">
        <v>306</v>
      </c>
      <c r="B1" s="14"/>
      <c r="C1" s="14"/>
      <c r="D1" s="14"/>
      <c r="E1" s="14"/>
      <c r="F1" s="14"/>
      <c r="G1" s="14"/>
      <c r="H1" s="14"/>
    </row>
    <row r="2" spans="1:8">
      <c r="A2" s="4"/>
    </row>
    <row r="3" spans="1:8" ht="15">
      <c r="A3" s="11" t="s">
        <v>196</v>
      </c>
      <c r="B3" s="5" t="s">
        <v>197</v>
      </c>
      <c r="C3" s="5" t="s">
        <v>198</v>
      </c>
      <c r="D3" s="5" t="s">
        <v>199</v>
      </c>
      <c r="E3" s="5" t="s">
        <v>200</v>
      </c>
      <c r="F3" s="5" t="s">
        <v>201</v>
      </c>
      <c r="G3" s="5" t="s">
        <v>202</v>
      </c>
      <c r="H3" s="1" t="s">
        <v>203</v>
      </c>
    </row>
    <row r="4" spans="1:8" ht="28.5">
      <c r="A4" s="6" t="s">
        <v>204</v>
      </c>
      <c r="B4" s="4" t="s">
        <v>205</v>
      </c>
      <c r="C4" s="4" t="s">
        <v>4</v>
      </c>
      <c r="D4" s="4" t="s">
        <v>206</v>
      </c>
      <c r="E4" s="4" t="s">
        <v>20</v>
      </c>
      <c r="F4" s="4" t="s">
        <v>207</v>
      </c>
      <c r="G4" s="4" t="s">
        <v>208</v>
      </c>
      <c r="H4" s="7" t="s">
        <v>209</v>
      </c>
    </row>
    <row r="5" spans="1:8" ht="15">
      <c r="A5" s="6" t="s">
        <v>84</v>
      </c>
      <c r="B5" s="4" t="s">
        <v>210</v>
      </c>
      <c r="C5" s="4" t="s">
        <v>4</v>
      </c>
      <c r="D5" s="4" t="s">
        <v>211</v>
      </c>
      <c r="E5" s="4" t="s">
        <v>20</v>
      </c>
      <c r="F5" s="4" t="s">
        <v>207</v>
      </c>
      <c r="G5" s="4" t="s">
        <v>212</v>
      </c>
      <c r="H5" s="7" t="s">
        <v>213</v>
      </c>
    </row>
    <row r="6" spans="1:8" ht="15">
      <c r="A6" s="6" t="s">
        <v>214</v>
      </c>
      <c r="B6" s="4" t="s">
        <v>215</v>
      </c>
      <c r="C6" s="4" t="s">
        <v>4</v>
      </c>
      <c r="D6" s="4" t="s">
        <v>216</v>
      </c>
      <c r="E6" s="4" t="s">
        <v>217</v>
      </c>
      <c r="F6" s="4" t="s">
        <v>57</v>
      </c>
      <c r="G6" s="4" t="s">
        <v>218</v>
      </c>
      <c r="H6" s="7" t="s">
        <v>219</v>
      </c>
    </row>
    <row r="7" spans="1:8" ht="28.5">
      <c r="A7" s="6" t="s">
        <v>220</v>
      </c>
      <c r="B7" s="4" t="s">
        <v>221</v>
      </c>
      <c r="C7" s="4" t="s">
        <v>4</v>
      </c>
      <c r="D7" s="4" t="s">
        <v>222</v>
      </c>
      <c r="E7" s="4" t="s">
        <v>57</v>
      </c>
      <c r="F7" s="4" t="s">
        <v>207</v>
      </c>
      <c r="G7" s="4" t="s">
        <v>223</v>
      </c>
      <c r="H7" s="7" t="s">
        <v>224</v>
      </c>
    </row>
    <row r="8" spans="1:8" ht="15">
      <c r="A8" s="6" t="s">
        <v>225</v>
      </c>
      <c r="B8" s="4" t="s">
        <v>226</v>
      </c>
      <c r="C8" s="4" t="s">
        <v>4</v>
      </c>
      <c r="D8" s="4" t="s">
        <v>227</v>
      </c>
      <c r="E8" s="4" t="s">
        <v>57</v>
      </c>
      <c r="F8" s="4" t="s">
        <v>207</v>
      </c>
      <c r="G8" s="4" t="s">
        <v>228</v>
      </c>
      <c r="H8" s="7" t="s">
        <v>229</v>
      </c>
    </row>
    <row r="9" spans="1:8" ht="28.5">
      <c r="A9" s="6" t="s">
        <v>230</v>
      </c>
      <c r="B9" s="4" t="s">
        <v>231</v>
      </c>
      <c r="C9" s="4" t="s">
        <v>4</v>
      </c>
      <c r="D9" s="4" t="s">
        <v>232</v>
      </c>
      <c r="E9" s="4" t="s">
        <v>217</v>
      </c>
      <c r="F9" s="4" t="s">
        <v>57</v>
      </c>
      <c r="G9" s="4" t="s">
        <v>233</v>
      </c>
      <c r="H9" s="7" t="s">
        <v>234</v>
      </c>
    </row>
    <row r="10" spans="1:8" ht="15">
      <c r="A10" s="6" t="s">
        <v>235</v>
      </c>
      <c r="B10" s="4" t="s">
        <v>236</v>
      </c>
      <c r="C10" s="4" t="s">
        <v>4</v>
      </c>
      <c r="D10" s="4" t="s">
        <v>237</v>
      </c>
      <c r="E10" s="4" t="s">
        <v>217</v>
      </c>
      <c r="F10" s="4" t="s">
        <v>57</v>
      </c>
      <c r="G10" s="4" t="s">
        <v>238</v>
      </c>
      <c r="H10" s="7" t="s">
        <v>239</v>
      </c>
    </row>
    <row r="11" spans="1:8" ht="15">
      <c r="A11" s="6" t="s">
        <v>240</v>
      </c>
      <c r="B11" s="4" t="s">
        <v>241</v>
      </c>
      <c r="C11" s="4" t="s">
        <v>4</v>
      </c>
      <c r="D11" s="4" t="s">
        <v>242</v>
      </c>
      <c r="E11" s="4" t="s">
        <v>217</v>
      </c>
      <c r="F11" s="4" t="s">
        <v>20</v>
      </c>
      <c r="G11" s="4" t="s">
        <v>243</v>
      </c>
      <c r="H11" s="7" t="s">
        <v>244</v>
      </c>
    </row>
    <row r="12" spans="1:8" ht="15">
      <c r="A12" s="6" t="s">
        <v>32</v>
      </c>
      <c r="B12" s="4" t="s">
        <v>245</v>
      </c>
      <c r="C12" s="4" t="s">
        <v>4</v>
      </c>
      <c r="D12" s="4" t="s">
        <v>246</v>
      </c>
      <c r="E12" s="4" t="s">
        <v>217</v>
      </c>
      <c r="F12" s="4" t="s">
        <v>20</v>
      </c>
      <c r="G12" s="4" t="s">
        <v>247</v>
      </c>
      <c r="H12" s="7" t="s">
        <v>248</v>
      </c>
    </row>
    <row r="13" spans="1:8" ht="15">
      <c r="A13" s="6" t="s">
        <v>249</v>
      </c>
      <c r="B13" s="4" t="s">
        <v>236</v>
      </c>
      <c r="C13" s="4" t="s">
        <v>4</v>
      </c>
      <c r="D13" s="4" t="s">
        <v>250</v>
      </c>
      <c r="E13" s="4" t="s">
        <v>20</v>
      </c>
      <c r="F13" s="4" t="s">
        <v>57</v>
      </c>
      <c r="G13" s="4" t="s">
        <v>251</v>
      </c>
      <c r="H13" s="7" t="s">
        <v>252</v>
      </c>
    </row>
    <row r="14" spans="1:8" ht="28.5">
      <c r="A14" s="6" t="s">
        <v>253</v>
      </c>
      <c r="B14" s="4" t="s">
        <v>254</v>
      </c>
      <c r="C14" s="4" t="s">
        <v>6</v>
      </c>
      <c r="D14" s="4" t="s">
        <v>255</v>
      </c>
      <c r="E14" s="4" t="s">
        <v>57</v>
      </c>
      <c r="F14" s="4" t="s">
        <v>57</v>
      </c>
      <c r="G14" s="4" t="s">
        <v>256</v>
      </c>
      <c r="H14" s="7" t="s">
        <v>257</v>
      </c>
    </row>
    <row r="15" spans="1:8" ht="15">
      <c r="A15" s="6" t="s">
        <v>46</v>
      </c>
      <c r="B15" s="4" t="s">
        <v>258</v>
      </c>
      <c r="C15" s="4" t="s">
        <v>6</v>
      </c>
      <c r="D15" s="4" t="s">
        <v>259</v>
      </c>
      <c r="E15" s="4" t="s">
        <v>57</v>
      </c>
      <c r="F15" s="4" t="s">
        <v>20</v>
      </c>
      <c r="G15" s="4" t="s">
        <v>260</v>
      </c>
      <c r="H15" s="7" t="s">
        <v>261</v>
      </c>
    </row>
    <row r="16" spans="1:8" ht="15">
      <c r="A16" s="6" t="s">
        <v>262</v>
      </c>
      <c r="B16" s="4" t="s">
        <v>263</v>
      </c>
      <c r="C16" s="4" t="s">
        <v>6</v>
      </c>
      <c r="D16" s="4" t="s">
        <v>264</v>
      </c>
      <c r="E16" s="4" t="s">
        <v>57</v>
      </c>
      <c r="F16" s="4" t="s">
        <v>207</v>
      </c>
      <c r="G16" s="4" t="s">
        <v>265</v>
      </c>
      <c r="H16" s="7" t="s">
        <v>224</v>
      </c>
    </row>
    <row r="17" spans="1:8" ht="28.5">
      <c r="A17" s="6" t="s">
        <v>266</v>
      </c>
      <c r="B17" s="4" t="s">
        <v>267</v>
      </c>
      <c r="C17" s="4" t="s">
        <v>6</v>
      </c>
      <c r="D17" s="4" t="s">
        <v>268</v>
      </c>
      <c r="E17" s="4" t="s">
        <v>269</v>
      </c>
      <c r="F17" s="4" t="s">
        <v>207</v>
      </c>
      <c r="G17" s="4" t="s">
        <v>270</v>
      </c>
      <c r="H17" s="7" t="s">
        <v>271</v>
      </c>
    </row>
    <row r="18" spans="1:8" ht="15">
      <c r="A18" s="6" t="s">
        <v>272</v>
      </c>
      <c r="B18" s="4" t="s">
        <v>210</v>
      </c>
      <c r="C18" s="4" t="s">
        <v>6</v>
      </c>
      <c r="D18" s="4" t="s">
        <v>273</v>
      </c>
      <c r="E18" s="4" t="s">
        <v>57</v>
      </c>
      <c r="F18" s="4" t="s">
        <v>207</v>
      </c>
      <c r="G18" s="4" t="s">
        <v>274</v>
      </c>
      <c r="H18" s="7" t="s">
        <v>275</v>
      </c>
    </row>
    <row r="19" spans="1:8" ht="28.5">
      <c r="A19" s="6" t="s">
        <v>276</v>
      </c>
      <c r="B19" s="4" t="s">
        <v>277</v>
      </c>
      <c r="C19" s="4" t="s">
        <v>278</v>
      </c>
      <c r="D19" s="4" t="s">
        <v>279</v>
      </c>
      <c r="E19" s="4" t="s">
        <v>207</v>
      </c>
      <c r="F19" s="4" t="s">
        <v>20</v>
      </c>
      <c r="G19" s="4" t="s">
        <v>280</v>
      </c>
      <c r="H19" s="7" t="s">
        <v>281</v>
      </c>
    </row>
    <row r="20" spans="1:8" ht="28.5">
      <c r="A20" s="6" t="s">
        <v>282</v>
      </c>
      <c r="B20" s="4" t="s">
        <v>283</v>
      </c>
      <c r="C20" s="4" t="s">
        <v>284</v>
      </c>
      <c r="D20" s="4" t="s">
        <v>285</v>
      </c>
      <c r="E20" s="4" t="s">
        <v>57</v>
      </c>
      <c r="F20" s="4" t="s">
        <v>217</v>
      </c>
      <c r="G20" s="4" t="s">
        <v>286</v>
      </c>
      <c r="H20" s="7" t="s">
        <v>287</v>
      </c>
    </row>
    <row r="21" spans="1:8" ht="15">
      <c r="A21" s="6" t="s">
        <v>288</v>
      </c>
      <c r="B21" s="4" t="s">
        <v>283</v>
      </c>
      <c r="C21" s="4" t="s">
        <v>284</v>
      </c>
      <c r="D21" s="4" t="s">
        <v>289</v>
      </c>
      <c r="E21" s="4" t="s">
        <v>20</v>
      </c>
      <c r="F21" s="4" t="s">
        <v>217</v>
      </c>
      <c r="G21" s="4" t="s">
        <v>290</v>
      </c>
      <c r="H21" s="7" t="s">
        <v>291</v>
      </c>
    </row>
    <row r="22" spans="1:8" ht="15">
      <c r="A22" s="6" t="s">
        <v>292</v>
      </c>
      <c r="B22" s="4" t="s">
        <v>293</v>
      </c>
      <c r="C22" s="4" t="s">
        <v>284</v>
      </c>
      <c r="D22" s="4" t="s">
        <v>294</v>
      </c>
      <c r="E22" s="4" t="s">
        <v>20</v>
      </c>
      <c r="F22" s="4" t="s">
        <v>217</v>
      </c>
      <c r="G22" s="4" t="s">
        <v>295</v>
      </c>
      <c r="H22" s="7" t="s">
        <v>296</v>
      </c>
    </row>
    <row r="23" spans="1:8" ht="28.5">
      <c r="A23" s="6" t="s">
        <v>297</v>
      </c>
      <c r="B23" s="4" t="s">
        <v>277</v>
      </c>
      <c r="C23" s="4" t="s">
        <v>284</v>
      </c>
      <c r="D23" s="4" t="s">
        <v>298</v>
      </c>
      <c r="E23" s="4" t="s">
        <v>20</v>
      </c>
      <c r="F23" s="4" t="s">
        <v>217</v>
      </c>
      <c r="G23" s="4" t="s">
        <v>299</v>
      </c>
      <c r="H23" s="7" t="s">
        <v>300</v>
      </c>
    </row>
    <row r="24" spans="1:8" ht="28.5">
      <c r="A24" s="8" t="s">
        <v>301</v>
      </c>
      <c r="B24" s="9" t="s">
        <v>302</v>
      </c>
      <c r="C24" s="9" t="s">
        <v>284</v>
      </c>
      <c r="D24" s="9" t="s">
        <v>303</v>
      </c>
      <c r="E24" s="9" t="s">
        <v>207</v>
      </c>
      <c r="F24" s="9" t="s">
        <v>217</v>
      </c>
      <c r="G24" s="9" t="s">
        <v>304</v>
      </c>
      <c r="H24" s="10" t="s">
        <v>305</v>
      </c>
    </row>
    <row r="25" spans="1:8">
      <c r="A25" s="4"/>
    </row>
    <row r="26" spans="1:8">
      <c r="A26" s="4"/>
    </row>
    <row r="27" spans="1:8">
      <c r="A27" s="4"/>
    </row>
    <row r="28" spans="1:8">
      <c r="A28" s="4"/>
    </row>
    <row r="29" spans="1:8">
      <c r="A29" s="4"/>
    </row>
    <row r="30" spans="1:8">
      <c r="A30" s="4"/>
    </row>
    <row r="31" spans="1:8">
      <c r="A31" s="4"/>
    </row>
    <row r="32" spans="1:8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</sheetData>
  <mergeCells count="1">
    <mergeCell ref="A1:H1"/>
  </mergeCells>
  <conditionalFormatting sqref="C4:C24">
    <cfRule type="expression" dxfId="2" priority="1">
      <formula>C4="MVP"</formula>
    </cfRule>
    <cfRule type="expression" dxfId="1" priority="2">
      <formula>C4="Optional"</formula>
    </cfRule>
    <cfRule type="expression" dxfId="0" priority="3">
      <formula>OR(C4="Future",C4="Loại khỏi MVP")</formula>
    </cfRule>
  </conditionalFormatting>
  <dataValidations count="1">
    <dataValidation type="list" sqref="C4:C24" xr:uid="{00000000-0002-0000-0400-000000000000}">
      <formula1>"MVP,Optional,Future,Loại khỏi MVP"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 nội bộ</vt:lpstr>
      <vt:lpstr>Kiểm duyệt listing</vt:lpstr>
      <vt:lpstr>Tích hợp V-App</vt:lpstr>
      <vt:lpstr>Research phí nền tảng</vt:lpstr>
      <vt:lpstr>Quyết định phạm 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Nam Trần</cp:lastModifiedBy>
  <dcterms:modified xsi:type="dcterms:W3CDTF">2026-07-21T04:45:27Z</dcterms:modified>
</cp:coreProperties>
</file>